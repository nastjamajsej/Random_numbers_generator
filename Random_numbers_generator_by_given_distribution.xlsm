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-105" yWindow="-105" windowWidth="19425" windowHeight="10305"/>
  </bookViews>
  <sheets>
    <sheet name="Показательное" sheetId="1" r:id="rId1"/>
    <sheet name="Логистическое" sheetId="2" r:id="rId2"/>
    <sheet name="Треугольное" sheetId="3" r:id="rId3"/>
    <sheet name="Геометрическое" sheetId="4" r:id="rId4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3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3" i="1"/>
</calcChain>
</file>

<file path=xl/sharedStrings.xml><?xml version="1.0" encoding="utf-8"?>
<sst xmlns="http://schemas.openxmlformats.org/spreadsheetml/2006/main" count="26" uniqueCount="18">
  <si>
    <t>Показательное</t>
  </si>
  <si>
    <t>f(x)</t>
  </si>
  <si>
    <t>Lambda = 0.5</t>
  </si>
  <si>
    <t>Lambda = 1</t>
  </si>
  <si>
    <t>Lambda = 5</t>
  </si>
  <si>
    <t>Логистическое</t>
  </si>
  <si>
    <t>Mu = 2, s = 1</t>
  </si>
  <si>
    <t>Mu = 9, s = 4</t>
  </si>
  <si>
    <t>Mu = 5, s = 2</t>
  </si>
  <si>
    <t>Треугольное</t>
  </si>
  <si>
    <t>a = 1, b = 3, c = 2</t>
  </si>
  <si>
    <t>a = 3, b = 7, c = 5</t>
  </si>
  <si>
    <t>a = 15, b = 20, c = 18</t>
  </si>
  <si>
    <t>Геометрическое</t>
  </si>
  <si>
    <t>р = 0.2</t>
  </si>
  <si>
    <t>р = 0.5</t>
  </si>
  <si>
    <t>р = 0.8</t>
  </si>
  <si>
    <t>Можно вывести в ячейку Е3 случайные числа (показательное распределение, 1 переменная, 50 случайных чисел, лямбда = 5). Посчитается функция плотности распределения в столбце F, построится зеленый график.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</si>
</sst>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Border="1"/>
    <xf numFmtId="0" fontId="1" fillId="0" borderId="0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/>
    <xf numFmtId="0" fontId="0" fillId="0" borderId="0" xfId="0" applyBorder="1" applyAlignment="1">
      <alignment wrapText="1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</a:t>
            </a:r>
            <a:r>
              <a:rPr lang="ru-RU" baseline="0"/>
              <a:t> плотности показательное распределение</a:t>
            </a:r>
            <a:endParaRPr lang="ru-RU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486221444541655"/>
          <c:y val="0.13396323616017225"/>
          <c:w val="0.73093574414309326"/>
          <c:h val="0.79417483903849095"/>
        </c:manualLayout>
      </c:layout>
      <c:scatterChart>
        <c:scatterStyle val="lineMarker"/>
        <c:varyColors val="0"/>
        <c:ser>
          <c:idx val="1"/>
          <c:order val="1"/>
          <c:tx>
            <c:strRef>
              <c:f>Показательное!$A$2</c:f>
              <c:strCache>
                <c:ptCount val="1"/>
                <c:pt idx="0">
                  <c:v>Lambda = 0.5</c:v>
                </c:pt>
              </c:strCache>
            </c:strRef>
          </c:tx>
          <c:spPr>
            <a:ln w="28575">
              <a:noFill/>
            </a:ln>
          </c:spPr>
          <c:xVal>
            <c:numRef>
              <c:f>Показательное!$A$3:$A$52</c:f>
              <c:numCache>
                <c:formatCode>General</c:formatCode>
                <c:ptCount val="50"/>
                <c:pt idx="0">
                  <c:v>0.69756233082047803</c:v>
                </c:pt>
                <c:pt idx="1">
                  <c:v>1.2568772734533378</c:v>
                </c:pt>
                <c:pt idx="2">
                  <c:v>1.091114984258049</c:v>
                </c:pt>
                <c:pt idx="3">
                  <c:v>2.4787684819166138</c:v>
                </c:pt>
                <c:pt idx="4">
                  <c:v>2.395000851386563</c:v>
                </c:pt>
                <c:pt idx="5">
                  <c:v>0.51045532166330043</c:v>
                </c:pt>
                <c:pt idx="6">
                  <c:v>8.5348772646587836</c:v>
                </c:pt>
                <c:pt idx="7">
                  <c:v>0.54697041086051701</c:v>
                </c:pt>
                <c:pt idx="8">
                  <c:v>0.41038620718645435</c:v>
                </c:pt>
                <c:pt idx="9">
                  <c:v>0.68769259669673877</c:v>
                </c:pt>
                <c:pt idx="10">
                  <c:v>6.1865686218968099</c:v>
                </c:pt>
                <c:pt idx="11">
                  <c:v>1.7636206567559125</c:v>
                </c:pt>
                <c:pt idx="12">
                  <c:v>0.29556354788838601</c:v>
                </c:pt>
                <c:pt idx="13">
                  <c:v>0.47022980150396498</c:v>
                </c:pt>
                <c:pt idx="14">
                  <c:v>1.9694808793258616</c:v>
                </c:pt>
                <c:pt idx="15">
                  <c:v>7.7579032918175653E-2</c:v>
                </c:pt>
                <c:pt idx="16">
                  <c:v>0.27520313566689075</c:v>
                </c:pt>
                <c:pt idx="17">
                  <c:v>5.7563656188340353</c:v>
                </c:pt>
                <c:pt idx="18">
                  <c:v>0.10352017773042883</c:v>
                </c:pt>
                <c:pt idx="19">
                  <c:v>2.0211001952955754</c:v>
                </c:pt>
                <c:pt idx="20">
                  <c:v>1.2892153195707552</c:v>
                </c:pt>
                <c:pt idx="21">
                  <c:v>0.53024581853309105</c:v>
                </c:pt>
                <c:pt idx="22">
                  <c:v>5.8559780380610622</c:v>
                </c:pt>
                <c:pt idx="23">
                  <c:v>1.0469497514654025</c:v>
                </c:pt>
                <c:pt idx="24">
                  <c:v>1.515584274830615</c:v>
                </c:pt>
                <c:pt idx="25">
                  <c:v>2.4202135537280465</c:v>
                </c:pt>
                <c:pt idx="26">
                  <c:v>0.94739144058874225</c:v>
                </c:pt>
                <c:pt idx="27">
                  <c:v>0.86828113039124788</c:v>
                </c:pt>
                <c:pt idx="28">
                  <c:v>2.6651816639114814</c:v>
                </c:pt>
                <c:pt idx="29">
                  <c:v>2.5506364867140818</c:v>
                </c:pt>
                <c:pt idx="30">
                  <c:v>0.37313723989798159</c:v>
                </c:pt>
                <c:pt idx="31">
                  <c:v>0.38570855837804446</c:v>
                </c:pt>
                <c:pt idx="32">
                  <c:v>1.0581047685885356</c:v>
                </c:pt>
                <c:pt idx="33">
                  <c:v>2.8008885089153456E-2</c:v>
                </c:pt>
                <c:pt idx="34">
                  <c:v>0.18650311806543404</c:v>
                </c:pt>
                <c:pt idx="35">
                  <c:v>2.9667914279441079</c:v>
                </c:pt>
                <c:pt idx="36">
                  <c:v>0.7273545012183632</c:v>
                </c:pt>
                <c:pt idx="37">
                  <c:v>4.0398807045333156E-2</c:v>
                </c:pt>
                <c:pt idx="38">
                  <c:v>2.8217368661169782</c:v>
                </c:pt>
                <c:pt idx="39">
                  <c:v>1.2551942878261604</c:v>
                </c:pt>
                <c:pt idx="40">
                  <c:v>4.4816695191251767</c:v>
                </c:pt>
                <c:pt idx="41">
                  <c:v>1.1712165120648542E-3</c:v>
                </c:pt>
                <c:pt idx="42">
                  <c:v>0.78260408199135856</c:v>
                </c:pt>
                <c:pt idx="43">
                  <c:v>8.3076902719501255</c:v>
                </c:pt>
                <c:pt idx="44">
                  <c:v>1.1061312435662032</c:v>
                </c:pt>
                <c:pt idx="45">
                  <c:v>4.6041257085552285</c:v>
                </c:pt>
                <c:pt idx="46">
                  <c:v>4.5456131155568906</c:v>
                </c:pt>
                <c:pt idx="47">
                  <c:v>0.44907806963543123</c:v>
                </c:pt>
                <c:pt idx="48">
                  <c:v>2.5141827289355891</c:v>
                </c:pt>
                <c:pt idx="49">
                  <c:v>6.173539669489343</c:v>
                </c:pt>
              </c:numCache>
            </c:numRef>
          </c:xVal>
          <c:yVal>
            <c:numRef>
              <c:f>Показательное!$B$3:$B$52</c:f>
              <c:numCache>
                <c:formatCode>General</c:formatCode>
                <c:ptCount val="50"/>
                <c:pt idx="0">
                  <c:v>0.3527737557888031</c:v>
                </c:pt>
                <c:pt idx="1">
                  <c:v>0.2667120099067688</c:v>
                </c:pt>
                <c:pt idx="2">
                  <c:v>0.2897593080997467</c:v>
                </c:pt>
                <c:pt idx="3">
                  <c:v>0.14478123188018799</c:v>
                </c:pt>
                <c:pt idx="4">
                  <c:v>0.15097400546073914</c:v>
                </c:pt>
                <c:pt idx="5">
                  <c:v>0.38737004995346069</c:v>
                </c:pt>
                <c:pt idx="6">
                  <c:v>7.0088207721710222E-3</c:v>
                </c:pt>
                <c:pt idx="7">
                  <c:v>0.38036179542541504</c:v>
                </c:pt>
                <c:pt idx="8">
                  <c:v>0.40724501013755798</c:v>
                </c:pt>
                <c:pt idx="9">
                  <c:v>0.35451894998550415</c:v>
                </c:pt>
                <c:pt idx="10">
                  <c:v>2.2676378488540649E-2</c:v>
                </c:pt>
                <c:pt idx="11">
                  <c:v>0.20701634883880615</c:v>
                </c:pt>
                <c:pt idx="12">
                  <c:v>0.43130967020988464</c:v>
                </c:pt>
                <c:pt idx="13">
                  <c:v>0.39524000883102417</c:v>
                </c:pt>
                <c:pt idx="14">
                  <c:v>0.18676808476448059</c:v>
                </c:pt>
                <c:pt idx="15">
                  <c:v>0.48097658157348633</c:v>
                </c:pt>
                <c:pt idx="16">
                  <c:v>0.43572291731834412</c:v>
                </c:pt>
                <c:pt idx="17">
                  <c:v>2.8118431568145755E-2</c:v>
                </c:pt>
                <c:pt idx="18">
                  <c:v>0.47477832436561584</c:v>
                </c:pt>
                <c:pt idx="19">
                  <c:v>0.18200933933258057</c:v>
                </c:pt>
                <c:pt idx="20">
                  <c:v>0.2624342143535614</c:v>
                </c:pt>
                <c:pt idx="21">
                  <c:v>0.3835558295249939</c:v>
                </c:pt>
                <c:pt idx="22">
                  <c:v>2.6752263307571411E-2</c:v>
                </c:pt>
                <c:pt idx="23">
                  <c:v>0.29622912406921387</c:v>
                </c:pt>
                <c:pt idx="24">
                  <c:v>0.2343500554561615</c:v>
                </c:pt>
                <c:pt idx="25">
                  <c:v>0.1490827202796936</c:v>
                </c:pt>
                <c:pt idx="26">
                  <c:v>0.31134834885597229</c:v>
                </c:pt>
                <c:pt idx="27">
                  <c:v>0.32391059398651123</c:v>
                </c:pt>
                <c:pt idx="28">
                  <c:v>0.13189646601676941</c:v>
                </c:pt>
                <c:pt idx="29">
                  <c:v>0.13967102766036987</c:v>
                </c:pt>
                <c:pt idx="30">
                  <c:v>0.41490080952644348</c:v>
                </c:pt>
                <c:pt idx="31">
                  <c:v>0.41230106353759766</c:v>
                </c:pt>
                <c:pt idx="32">
                  <c:v>0.29458150267601013</c:v>
                </c:pt>
                <c:pt idx="33">
                  <c:v>0.49304658174514771</c:v>
                </c:pt>
                <c:pt idx="34">
                  <c:v>0.45548215508460999</c:v>
                </c:pt>
                <c:pt idx="35">
                  <c:v>0.11343300342559813</c:v>
                </c:pt>
                <c:pt idx="36">
                  <c:v>0.34755775332450867</c:v>
                </c:pt>
                <c:pt idx="37">
                  <c:v>0.4900016188621521</c:v>
                </c:pt>
                <c:pt idx="38">
                  <c:v>0.1219656765460968</c:v>
                </c:pt>
                <c:pt idx="39">
                  <c:v>0.2669365406036377</c:v>
                </c:pt>
                <c:pt idx="40">
                  <c:v>5.3184837102890001E-2</c:v>
                </c:pt>
                <c:pt idx="41">
                  <c:v>0.49970728158950806</c:v>
                </c:pt>
                <c:pt idx="42">
                  <c:v>0.33808794617652893</c:v>
                </c:pt>
                <c:pt idx="43">
                  <c:v>7.8519582748413069E-3</c:v>
                </c:pt>
                <c:pt idx="44">
                  <c:v>0.28759190440177917</c:v>
                </c:pt>
                <c:pt idx="45">
                  <c:v>5.0026118755340583E-2</c:v>
                </c:pt>
                <c:pt idx="46">
                  <c:v>5.1511317491531379E-2</c:v>
                </c:pt>
                <c:pt idx="47">
                  <c:v>0.39944219589233398</c:v>
                </c:pt>
                <c:pt idx="48">
                  <c:v>0.14224013686180115</c:v>
                </c:pt>
                <c:pt idx="49">
                  <c:v>2.2824585437774658E-2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63-41E7-B69F-0D94EADA6382}"/>
            </c:ext>
          </c:extLst>
        </c:ser>
        <c:ser>
          <c:idx val="2"/>
          <c:order val="2"/>
          <c:tx>
            <c:strRef>
              <c:f>Показательное!$E$2</c:f>
              <c:strCache>
                <c:ptCount val="1"/>
                <c:pt idx="0">
                  <c:v>Lambda = 5</c:v>
                </c:pt>
              </c:strCache>
            </c:strRef>
          </c:tx>
          <c:spPr>
            <a:ln w="28575">
              <a:noFill/>
            </a:ln>
          </c:spPr>
          <c:xVal>
            <c:numRef>
              <c:f>Показательное!$E$3:$E$52</c:f>
              <c:numCache>
                <c:formatCode>General</c:formatCode>
                <c:ptCount val="50"/>
              </c:numCache>
            </c:numRef>
          </c:xVal>
          <c:yVal>
            <c:numRef>
              <c:f>Показательное!$F$3:$F$52</c:f>
              <c:numCache>
                <c:formatCode>General</c:formatCode>
                <c:ptCount val="5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C63-41E7-B69F-0D94EADA6382}"/>
            </c:ext>
          </c:extLst>
        </c:ser>
        <c:ser>
          <c:idx val="0"/>
          <c:order val="0"/>
          <c:tx>
            <c:strRef>
              <c:f>Показательное!$C$2</c:f>
              <c:strCache>
                <c:ptCount val="1"/>
                <c:pt idx="0">
                  <c:v>Lambda = 1</c:v>
                </c:pt>
              </c:strCache>
            </c:strRef>
          </c:tx>
          <c:spPr>
            <a:ln w="28575">
              <a:noFill/>
            </a:ln>
          </c:spPr>
          <c:xVal>
            <c:numRef>
              <c:f>Показательное!$C$3:$C$52</c:f>
              <c:numCache>
                <c:formatCode>General</c:formatCode>
                <c:ptCount val="50"/>
                <c:pt idx="0">
                  <c:v>1.2181635161718072</c:v>
                </c:pt>
                <c:pt idx="1">
                  <c:v>0.96230666469840132</c:v>
                </c:pt>
                <c:pt idx="2">
                  <c:v>1.2007430431337447</c:v>
                </c:pt>
                <c:pt idx="3">
                  <c:v>5.2798546785545963E-2</c:v>
                </c:pt>
                <c:pt idx="4">
                  <c:v>2.0376833726138181E-2</c:v>
                </c:pt>
                <c:pt idx="5">
                  <c:v>0.91286077077842476</c:v>
                </c:pt>
                <c:pt idx="6">
                  <c:v>1.2791276211080813</c:v>
                </c:pt>
                <c:pt idx="7">
                  <c:v>1.8298257777043474</c:v>
                </c:pt>
                <c:pt idx="8">
                  <c:v>1.8151002119687896</c:v>
                </c:pt>
                <c:pt idx="9">
                  <c:v>0.43604731273259845</c:v>
                </c:pt>
                <c:pt idx="10">
                  <c:v>0.89141954808264789</c:v>
                </c:pt>
                <c:pt idx="11">
                  <c:v>0.88487245992653818</c:v>
                </c:pt>
                <c:pt idx="12">
                  <c:v>0.33865195623763311</c:v>
                </c:pt>
                <c:pt idx="13">
                  <c:v>1.1202255599284789</c:v>
                </c:pt>
                <c:pt idx="14">
                  <c:v>0.45700229052119073</c:v>
                </c:pt>
                <c:pt idx="15">
                  <c:v>1.5723293547921551</c:v>
                </c:pt>
                <c:pt idx="16">
                  <c:v>1.6819359210075624</c:v>
                </c:pt>
                <c:pt idx="17">
                  <c:v>0.53895249644314724</c:v>
                </c:pt>
                <c:pt idx="18">
                  <c:v>2.5168352703328511</c:v>
                </c:pt>
                <c:pt idx="19">
                  <c:v>0.7809484250491121</c:v>
                </c:pt>
                <c:pt idx="20">
                  <c:v>9.9014218000252674E-2</c:v>
                </c:pt>
                <c:pt idx="21">
                  <c:v>1.3418248520714211</c:v>
                </c:pt>
                <c:pt idx="22">
                  <c:v>0.24180125536437647</c:v>
                </c:pt>
                <c:pt idx="23">
                  <c:v>0.97047621906417258</c:v>
                </c:pt>
                <c:pt idx="24">
                  <c:v>1.2390300464717852</c:v>
                </c:pt>
                <c:pt idx="25">
                  <c:v>8.4058915926224997E-2</c:v>
                </c:pt>
                <c:pt idx="26">
                  <c:v>0.45927353466579734</c:v>
                </c:pt>
                <c:pt idx="27">
                  <c:v>0.46578528222037963</c:v>
                </c:pt>
                <c:pt idx="28">
                  <c:v>0.84756637562247628</c:v>
                </c:pt>
                <c:pt idx="29">
                  <c:v>2.3230549426504608</c:v>
                </c:pt>
                <c:pt idx="30">
                  <c:v>0.57796289038960991</c:v>
                </c:pt>
                <c:pt idx="31">
                  <c:v>0.36458427361369222</c:v>
                </c:pt>
                <c:pt idx="32">
                  <c:v>9.0233761931709303E-2</c:v>
                </c:pt>
                <c:pt idx="33">
                  <c:v>0.18054253487611216</c:v>
                </c:pt>
                <c:pt idx="34">
                  <c:v>3.7885141088590086</c:v>
                </c:pt>
                <c:pt idx="35">
                  <c:v>0.60998210774320205</c:v>
                </c:pt>
                <c:pt idx="36">
                  <c:v>8.7559911813701874E-2</c:v>
                </c:pt>
                <c:pt idx="37">
                  <c:v>0.84336296368774655</c:v>
                </c:pt>
                <c:pt idx="38">
                  <c:v>0.38868513262526111</c:v>
                </c:pt>
                <c:pt idx="39">
                  <c:v>0.68825133832698171</c:v>
                </c:pt>
                <c:pt idx="40">
                  <c:v>0.66604284492484078</c:v>
                </c:pt>
                <c:pt idx="41">
                  <c:v>0.770071353326648</c:v>
                </c:pt>
                <c:pt idx="42">
                  <c:v>1.0399491656595323</c:v>
                </c:pt>
                <c:pt idx="43">
                  <c:v>0.9042777987868279</c:v>
                </c:pt>
                <c:pt idx="44">
                  <c:v>1.3103279581349583</c:v>
                </c:pt>
                <c:pt idx="45">
                  <c:v>2.8896891601085049</c:v>
                </c:pt>
                <c:pt idx="46">
                  <c:v>1.4112218257048545</c:v>
                </c:pt>
                <c:pt idx="47">
                  <c:v>2.1144032655015296E-2</c:v>
                </c:pt>
                <c:pt idx="48">
                  <c:v>2.7982553913369621</c:v>
                </c:pt>
                <c:pt idx="49">
                  <c:v>0.94086150509216226</c:v>
                </c:pt>
              </c:numCache>
            </c:numRef>
          </c:xVal>
          <c:yVal>
            <c:numRef>
              <c:f>Показательное!$D$3:$D$52</c:f>
              <c:numCache>
                <c:formatCode>General</c:formatCode>
                <c:ptCount val="50"/>
                <c:pt idx="0">
                  <c:v>0.29577285051345825</c:v>
                </c:pt>
                <c:pt idx="1">
                  <c:v>0.38201069831848145</c:v>
                </c:pt>
                <c:pt idx="2">
                  <c:v>0.30097049474716187</c:v>
                </c:pt>
                <c:pt idx="3">
                  <c:v>0.94857108592987061</c:v>
                </c:pt>
                <c:pt idx="4">
                  <c:v>0.97982937097549438</c:v>
                </c:pt>
                <c:pt idx="5">
                  <c:v>0.40137434005737305</c:v>
                </c:pt>
                <c:pt idx="6">
                  <c:v>0.27827996015548706</c:v>
                </c:pt>
                <c:pt idx="7">
                  <c:v>0.16044151782989502</c:v>
                </c:pt>
                <c:pt idx="8">
                  <c:v>0.16282159090042114</c:v>
                </c:pt>
                <c:pt idx="9">
                  <c:v>0.64658713340759277</c:v>
                </c:pt>
                <c:pt idx="10">
                  <c:v>0.41007322072982788</c:v>
                </c:pt>
                <c:pt idx="11">
                  <c:v>0.41276681423187256</c:v>
                </c:pt>
                <c:pt idx="12">
                  <c:v>0.71273046731948853</c:v>
                </c:pt>
                <c:pt idx="13">
                  <c:v>0.32620620727539063</c:v>
                </c:pt>
                <c:pt idx="14">
                  <c:v>0.63317888975143433</c:v>
                </c:pt>
                <c:pt idx="15">
                  <c:v>0.20756113529205322</c:v>
                </c:pt>
                <c:pt idx="16">
                  <c:v>0.18601351976394653</c:v>
                </c:pt>
                <c:pt idx="17">
                  <c:v>0.5833590030670166</c:v>
                </c:pt>
                <c:pt idx="18">
                  <c:v>8.071464300155641E-2</c:v>
                </c:pt>
                <c:pt idx="19">
                  <c:v>0.45797145366668701</c:v>
                </c:pt>
                <c:pt idx="20">
                  <c:v>0.90572983026504517</c:v>
                </c:pt>
                <c:pt idx="21">
                  <c:v>0.2613682746887207</c:v>
                </c:pt>
                <c:pt idx="22">
                  <c:v>0.78521221876144409</c:v>
                </c:pt>
                <c:pt idx="23">
                  <c:v>0.37890255451202393</c:v>
                </c:pt>
                <c:pt idx="24">
                  <c:v>0.28966504335403442</c:v>
                </c:pt>
                <c:pt idx="25">
                  <c:v>0.91937708854675293</c:v>
                </c:pt>
                <c:pt idx="26">
                  <c:v>0.63174241781234741</c:v>
                </c:pt>
                <c:pt idx="27">
                  <c:v>0.62764203548431396</c:v>
                </c:pt>
                <c:pt idx="28">
                  <c:v>0.42845636606216431</c:v>
                </c:pt>
                <c:pt idx="29">
                  <c:v>9.7973823547363295E-2</c:v>
                </c:pt>
                <c:pt idx="30">
                  <c:v>0.56104010343551636</c:v>
                </c:pt>
                <c:pt idx="31">
                  <c:v>0.69448530673980713</c:v>
                </c:pt>
                <c:pt idx="32">
                  <c:v>0.91371756792068481</c:v>
                </c:pt>
                <c:pt idx="33">
                  <c:v>0.83481717109680176</c:v>
                </c:pt>
                <c:pt idx="34">
                  <c:v>2.2629201412200928E-2</c:v>
                </c:pt>
                <c:pt idx="35">
                  <c:v>0.54336059093475342</c:v>
                </c:pt>
                <c:pt idx="36">
                  <c:v>0.91616398096084595</c:v>
                </c:pt>
                <c:pt idx="37">
                  <c:v>0.43026113510131836</c:v>
                </c:pt>
                <c:pt idx="38">
                  <c:v>0.67794770002365112</c:v>
                </c:pt>
                <c:pt idx="39">
                  <c:v>0.50245392322540283</c:v>
                </c:pt>
                <c:pt idx="40">
                  <c:v>0.51373749971389771</c:v>
                </c:pt>
                <c:pt idx="41">
                  <c:v>0.46298003196716309</c:v>
                </c:pt>
                <c:pt idx="42">
                  <c:v>0.35347265005111694</c:v>
                </c:pt>
                <c:pt idx="43">
                  <c:v>0.40483415126800537</c:v>
                </c:pt>
                <c:pt idx="44">
                  <c:v>0.26973158121109009</c:v>
                </c:pt>
                <c:pt idx="45">
                  <c:v>5.5593490600585944E-2</c:v>
                </c:pt>
                <c:pt idx="46">
                  <c:v>0.24384516477584842</c:v>
                </c:pt>
                <c:pt idx="47">
                  <c:v>0.97907793521881104</c:v>
                </c:pt>
                <c:pt idx="48">
                  <c:v>6.0916244983673096E-2</c:v>
                </c:pt>
                <c:pt idx="49">
                  <c:v>0.39029145240783691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63-41E7-B69F-0D94EADA6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484544"/>
        <c:axId val="135486080"/>
      </c:scatterChart>
      <c:valAx>
        <c:axId val="13548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486080"/>
        <c:crosses val="autoZero"/>
        <c:crossBetween val="midCat"/>
      </c:valAx>
      <c:valAx>
        <c:axId val="135486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5484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</a:t>
            </a:r>
            <a:r>
              <a:rPr lang="ru-RU" baseline="0"/>
              <a:t> плотности логистическое распределение</a:t>
            </a:r>
            <a:endParaRPr lang="ru-RU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486221444541655"/>
          <c:y val="0.13396323616017225"/>
          <c:w val="0.73093574414309326"/>
          <c:h val="0.79417483903849095"/>
        </c:manualLayout>
      </c:layout>
      <c:scatterChart>
        <c:scatterStyle val="lineMarker"/>
        <c:varyColors val="0"/>
        <c:ser>
          <c:idx val="1"/>
          <c:order val="1"/>
          <c:tx>
            <c:strRef>
              <c:f>Логистическое!$C$2</c:f>
              <c:strCache>
                <c:ptCount val="1"/>
                <c:pt idx="0">
                  <c:v>Mu = 9, s = 4</c:v>
                </c:pt>
              </c:strCache>
            </c:strRef>
          </c:tx>
          <c:spPr>
            <a:ln w="28575">
              <a:noFill/>
            </a:ln>
          </c:spPr>
          <c:xVal>
            <c:numRef>
              <c:f>Логистическое!$C$3:$C$52</c:f>
              <c:numCache>
                <c:formatCode>General</c:formatCode>
                <c:ptCount val="50"/>
                <c:pt idx="0">
                  <c:v>9.9020029797407894</c:v>
                </c:pt>
                <c:pt idx="1">
                  <c:v>12.918890294895908</c:v>
                </c:pt>
                <c:pt idx="2">
                  <c:v>1.3053299299179715</c:v>
                </c:pt>
                <c:pt idx="3">
                  <c:v>4.5908660378163653</c:v>
                </c:pt>
                <c:pt idx="4">
                  <c:v>12.918980402065591</c:v>
                </c:pt>
                <c:pt idx="5">
                  <c:v>6.1010991994191226</c:v>
                </c:pt>
                <c:pt idx="6">
                  <c:v>13.254256595745394</c:v>
                </c:pt>
                <c:pt idx="7">
                  <c:v>18.259594363415481</c:v>
                </c:pt>
                <c:pt idx="8">
                  <c:v>22.775692040972721</c:v>
                </c:pt>
                <c:pt idx="9">
                  <c:v>11.965241512544496</c:v>
                </c:pt>
                <c:pt idx="10">
                  <c:v>3.697190064936831</c:v>
                </c:pt>
                <c:pt idx="11">
                  <c:v>12.441557136781963</c:v>
                </c:pt>
                <c:pt idx="12">
                  <c:v>13.714883988120587</c:v>
                </c:pt>
                <c:pt idx="13">
                  <c:v>9.3125635782687084</c:v>
                </c:pt>
                <c:pt idx="14">
                  <c:v>13.296869245501846</c:v>
                </c:pt>
                <c:pt idx="15">
                  <c:v>11.642369233469438</c:v>
                </c:pt>
                <c:pt idx="16">
                  <c:v>21.2263562715737</c:v>
                </c:pt>
                <c:pt idx="17">
                  <c:v>9.2812666526103733</c:v>
                </c:pt>
                <c:pt idx="18">
                  <c:v>14.396408645828757</c:v>
                </c:pt>
                <c:pt idx="19">
                  <c:v>1.5861032278130942</c:v>
                </c:pt>
                <c:pt idx="20">
                  <c:v>7.5668042897935166</c:v>
                </c:pt>
                <c:pt idx="21">
                  <c:v>4.5001440617864494</c:v>
                </c:pt>
                <c:pt idx="22">
                  <c:v>-1.21846868398727</c:v>
                </c:pt>
                <c:pt idx="23">
                  <c:v>11.814357500319582</c:v>
                </c:pt>
                <c:pt idx="24">
                  <c:v>8.31124484098161</c:v>
                </c:pt>
                <c:pt idx="25">
                  <c:v>18.731962820387952</c:v>
                </c:pt>
                <c:pt idx="26">
                  <c:v>6.7959246578765207</c:v>
                </c:pt>
                <c:pt idx="27">
                  <c:v>10.45525493448563</c:v>
                </c:pt>
                <c:pt idx="28">
                  <c:v>-3.7564830991409988</c:v>
                </c:pt>
                <c:pt idx="29">
                  <c:v>17.177448096182545</c:v>
                </c:pt>
                <c:pt idx="30">
                  <c:v>-0.96041656516581497</c:v>
                </c:pt>
                <c:pt idx="31">
                  <c:v>7.0382485743359666</c:v>
                </c:pt>
                <c:pt idx="32">
                  <c:v>11.516192486305798</c:v>
                </c:pt>
                <c:pt idx="33">
                  <c:v>15.962116478286418</c:v>
                </c:pt>
                <c:pt idx="34">
                  <c:v>9.3205191746000668</c:v>
                </c:pt>
                <c:pt idx="35">
                  <c:v>14.07645250235165</c:v>
                </c:pt>
                <c:pt idx="36">
                  <c:v>-11.263604187136192</c:v>
                </c:pt>
                <c:pt idx="37">
                  <c:v>16.588985553601365</c:v>
                </c:pt>
                <c:pt idx="38">
                  <c:v>23.060378389031325</c:v>
                </c:pt>
                <c:pt idx="39">
                  <c:v>11.557432843169874</c:v>
                </c:pt>
                <c:pt idx="40">
                  <c:v>8.2349802961913028</c:v>
                </c:pt>
                <c:pt idx="41">
                  <c:v>-0.93273846152064088</c:v>
                </c:pt>
                <c:pt idx="42">
                  <c:v>8.3868609390488249</c:v>
                </c:pt>
                <c:pt idx="43">
                  <c:v>10.515117946444732</c:v>
                </c:pt>
                <c:pt idx="44">
                  <c:v>2.1473657885513653</c:v>
                </c:pt>
                <c:pt idx="45">
                  <c:v>2.7635624377026122</c:v>
                </c:pt>
                <c:pt idx="46">
                  <c:v>6.1232587035718407</c:v>
                </c:pt>
                <c:pt idx="47">
                  <c:v>5.1844741988464076</c:v>
                </c:pt>
                <c:pt idx="48">
                  <c:v>-13.929885438176814</c:v>
                </c:pt>
                <c:pt idx="49">
                  <c:v>11.656634034777007</c:v>
                </c:pt>
              </c:numCache>
            </c:numRef>
          </c:xVal>
          <c:yVal>
            <c:numRef>
              <c:f>Логистическое!$D$3:$D$52</c:f>
              <c:numCache>
                <c:formatCode>General</c:formatCode>
                <c:ptCount val="50"/>
                <c:pt idx="0">
                  <c:v>6.1712145211870073E-2</c:v>
                </c:pt>
                <c:pt idx="1">
                  <c:v>4.9611715016396843E-2</c:v>
                </c:pt>
                <c:pt idx="2">
                  <c:v>2.780221083421619E-2</c:v>
                </c:pt>
                <c:pt idx="3">
                  <c:v>4.6788916961926219E-2</c:v>
                </c:pt>
                <c:pt idx="4">
                  <c:v>4.9611207508028166E-2</c:v>
                </c:pt>
                <c:pt idx="5">
                  <c:v>5.496170689660574E-2</c:v>
                </c:pt>
                <c:pt idx="6">
                  <c:v>4.7692630640965739E-2</c:v>
                </c:pt>
                <c:pt idx="7">
                  <c:v>2.0453792066657435E-2</c:v>
                </c:pt>
                <c:pt idx="8">
                  <c:v>7.4981664664042231E-3</c:v>
                </c:pt>
                <c:pt idx="9">
                  <c:v>5.4642743568365411E-2</c:v>
                </c:pt>
                <c:pt idx="10">
                  <c:v>4.1456307275601567E-2</c:v>
                </c:pt>
                <c:pt idx="11">
                  <c:v>5.2223922330394856E-2</c:v>
                </c:pt>
                <c:pt idx="12">
                  <c:v>4.4981127189323004E-2</c:v>
                </c:pt>
                <c:pt idx="13">
                  <c:v>6.2404690767138504E-2</c:v>
                </c:pt>
                <c:pt idx="14">
                  <c:v>4.7444942614887076E-2</c:v>
                </c:pt>
                <c:pt idx="15">
                  <c:v>5.6148433637641659E-2</c:v>
                </c:pt>
                <c:pt idx="16">
                  <c:v>1.0728701040121363E-2</c:v>
                </c:pt>
                <c:pt idx="17">
                  <c:v>6.2422806853135171E-2</c:v>
                </c:pt>
                <c:pt idx="18">
                  <c:v>4.0893527764302995E-2</c:v>
                </c:pt>
                <c:pt idx="19">
                  <c:v>2.9278650076658863E-2</c:v>
                </c:pt>
                <c:pt idx="20">
                  <c:v>6.053624325391295E-2</c:v>
                </c:pt>
                <c:pt idx="21">
                  <c:v>4.6255436679629738E-2</c:v>
                </c:pt>
                <c:pt idx="22">
                  <c:v>1.672901562494555E-2</c:v>
                </c:pt>
                <c:pt idx="23">
                  <c:v>5.5361177822728543E-2</c:v>
                </c:pt>
                <c:pt idx="24">
                  <c:v>6.2039014343695527E-2</c:v>
                </c:pt>
                <c:pt idx="25">
                  <c:v>1.8545061406030069E-2</c:v>
                </c:pt>
                <c:pt idx="26">
                  <c:v>5.7986045682318896E-2</c:v>
                </c:pt>
                <c:pt idx="27">
                  <c:v>6.0476650402303982E-2</c:v>
                </c:pt>
                <c:pt idx="28">
                  <c:v>9.5027081118592704E-3</c:v>
                </c:pt>
                <c:pt idx="29">
                  <c:v>2.5371201350807854E-2</c:v>
                </c:pt>
                <c:pt idx="30">
                  <c:v>1.7673548026222896E-2</c:v>
                </c:pt>
                <c:pt idx="31">
                  <c:v>5.8887414537647224E-2</c:v>
                </c:pt>
                <c:pt idx="32">
                  <c:v>5.6703188041082875E-2</c:v>
                </c:pt>
                <c:pt idx="33">
                  <c:v>3.1742862094631612E-2</c:v>
                </c:pt>
                <c:pt idx="34">
                  <c:v>6.2399782515661251E-2</c:v>
                </c:pt>
                <c:pt idx="35">
                  <c:v>4.2817187854378602E-2</c:v>
                </c:pt>
                <c:pt idx="36">
                  <c:v>1.5573459363826807E-3</c:v>
                </c:pt>
                <c:pt idx="37">
                  <c:v>2.8352738389443747E-2</c:v>
                </c:pt>
                <c:pt idx="38">
                  <c:v>7.012848344202462E-3</c:v>
                </c:pt>
                <c:pt idx="39">
                  <c:v>5.6524063068561489E-2</c:v>
                </c:pt>
                <c:pt idx="40">
                  <c:v>6.1931928130433356E-2</c:v>
                </c:pt>
                <c:pt idx="41">
                  <c:v>1.7777360186300939E-2</c:v>
                </c:pt>
                <c:pt idx="42">
                  <c:v>6.2134304491556783E-2</c:v>
                </c:pt>
                <c:pt idx="43">
                  <c:v>6.0310756901994715E-2</c:v>
                </c:pt>
                <c:pt idx="44">
                  <c:v>3.2355138183510768E-2</c:v>
                </c:pt>
                <c:pt idx="45">
                  <c:v>3.589422765888628E-2</c:v>
                </c:pt>
                <c:pt idx="46">
                  <c:v>5.5067181149794031E-2</c:v>
                </c:pt>
                <c:pt idx="47">
                  <c:v>5.0190641294758365E-2</c:v>
                </c:pt>
                <c:pt idx="48">
                  <c:v>8.0454522615891445E-4</c:v>
                </c:pt>
                <c:pt idx="49">
                  <c:v>5.6084476987905425E-2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63-41E7-B69F-0D94EADA6382}"/>
            </c:ext>
          </c:extLst>
        </c:ser>
        <c:ser>
          <c:idx val="2"/>
          <c:order val="2"/>
          <c:tx>
            <c:strRef>
              <c:f>Логистическое!$E$2</c:f>
              <c:strCache>
                <c:ptCount val="1"/>
                <c:pt idx="0">
                  <c:v>Mu = 5, s = 2</c:v>
                </c:pt>
              </c:strCache>
            </c:strRef>
          </c:tx>
          <c:spPr>
            <a:ln w="28575">
              <a:noFill/>
            </a:ln>
          </c:spPr>
          <c:xVal>
            <c:numRef>
              <c:f>Логистическое!$E$3:$E$52</c:f>
              <c:numCache>
                <c:formatCode>General</c:formatCode>
                <c:ptCount val="50"/>
                <c:pt idx="0">
                  <c:v>5.0383107455256271</c:v>
                </c:pt>
                <c:pt idx="1">
                  <c:v>5.7034200903734744</c:v>
                </c:pt>
                <c:pt idx="2">
                  <c:v>3.3501403341006859</c:v>
                </c:pt>
                <c:pt idx="3">
                  <c:v>8.0450594333367356</c:v>
                </c:pt>
                <c:pt idx="4">
                  <c:v>5.6216099965016237</c:v>
                </c:pt>
                <c:pt idx="5">
                  <c:v>4.6537214777863136</c:v>
                </c:pt>
                <c:pt idx="6">
                  <c:v>2.038789978314306</c:v>
                </c:pt>
                <c:pt idx="7">
                  <c:v>4.6719578777929298</c:v>
                </c:pt>
                <c:pt idx="8">
                  <c:v>5.5838445422724821</c:v>
                </c:pt>
                <c:pt idx="9">
                  <c:v>4.9274469929182301</c:v>
                </c:pt>
                <c:pt idx="10">
                  <c:v>7.4417603433540602</c:v>
                </c:pt>
                <c:pt idx="11">
                  <c:v>4.0277971938254753</c:v>
                </c:pt>
                <c:pt idx="12">
                  <c:v>5.0813677467361424</c:v>
                </c:pt>
                <c:pt idx="13">
                  <c:v>3.4849200998411787</c:v>
                </c:pt>
                <c:pt idx="14">
                  <c:v>0.88705340321430448</c:v>
                </c:pt>
                <c:pt idx="15">
                  <c:v>6.0600132185359517</c:v>
                </c:pt>
                <c:pt idx="16">
                  <c:v>6.6708655466800195</c:v>
                </c:pt>
                <c:pt idx="17">
                  <c:v>6.7630020517644684</c:v>
                </c:pt>
                <c:pt idx="18">
                  <c:v>8.4643232779439828</c:v>
                </c:pt>
                <c:pt idx="19">
                  <c:v>4.7611472550817853</c:v>
                </c:pt>
                <c:pt idx="20">
                  <c:v>7.4935168701321349</c:v>
                </c:pt>
                <c:pt idx="21">
                  <c:v>4.3172105320305025</c:v>
                </c:pt>
                <c:pt idx="22">
                  <c:v>6.12076731842755</c:v>
                </c:pt>
                <c:pt idx="23">
                  <c:v>1.090297561235595</c:v>
                </c:pt>
                <c:pt idx="24">
                  <c:v>5.1760001220281211</c:v>
                </c:pt>
                <c:pt idx="25">
                  <c:v>7.8917992993042834</c:v>
                </c:pt>
                <c:pt idx="26">
                  <c:v>3.454992074260026</c:v>
                </c:pt>
                <c:pt idx="27">
                  <c:v>2.8302462044529308</c:v>
                </c:pt>
                <c:pt idx="28">
                  <c:v>4.0722339351817984</c:v>
                </c:pt>
                <c:pt idx="29">
                  <c:v>2.4436530007863686</c:v>
                </c:pt>
                <c:pt idx="30">
                  <c:v>8.2906218272581533</c:v>
                </c:pt>
                <c:pt idx="31">
                  <c:v>2.1287043285455347</c:v>
                </c:pt>
                <c:pt idx="32">
                  <c:v>7.7400191318706302</c:v>
                </c:pt>
                <c:pt idx="33">
                  <c:v>-1.1936907933445857</c:v>
                </c:pt>
                <c:pt idx="34">
                  <c:v>10.304481616357151</c:v>
                </c:pt>
                <c:pt idx="35">
                  <c:v>10.44972065849668</c:v>
                </c:pt>
                <c:pt idx="36">
                  <c:v>2.3113830926908281</c:v>
                </c:pt>
                <c:pt idx="37">
                  <c:v>5.9824528383509898</c:v>
                </c:pt>
                <c:pt idx="38">
                  <c:v>5.2918447152690407</c:v>
                </c:pt>
                <c:pt idx="39">
                  <c:v>8.9935103457497281</c:v>
                </c:pt>
                <c:pt idx="40">
                  <c:v>9.0720891682527594</c:v>
                </c:pt>
                <c:pt idx="41">
                  <c:v>8.1182337262567437</c:v>
                </c:pt>
                <c:pt idx="42">
                  <c:v>10.969530667236302</c:v>
                </c:pt>
                <c:pt idx="43">
                  <c:v>3.1622155822398481</c:v>
                </c:pt>
                <c:pt idx="44">
                  <c:v>4.7354361315207152</c:v>
                </c:pt>
                <c:pt idx="45">
                  <c:v>4.5094815896278693</c:v>
                </c:pt>
                <c:pt idx="46">
                  <c:v>7.5696088351576361</c:v>
                </c:pt>
                <c:pt idx="47">
                  <c:v>5.2563049431752571</c:v>
                </c:pt>
                <c:pt idx="48">
                  <c:v>2.8414711354305502</c:v>
                </c:pt>
                <c:pt idx="49">
                  <c:v>2.7780496223317943</c:v>
                </c:pt>
              </c:numCache>
            </c:numRef>
          </c:xVal>
          <c:yVal>
            <c:numRef>
              <c:f>Логистическое!$F$3:$F$52</c:f>
              <c:numCache>
                <c:formatCode>General</c:formatCode>
                <c:ptCount val="50"/>
                <c:pt idx="0">
                  <c:v>0.12498853419164213</c:v>
                </c:pt>
                <c:pt idx="1">
                  <c:v>0.12121269817679801</c:v>
                </c:pt>
                <c:pt idx="2">
                  <c:v>0.10593250858981484</c:v>
                </c:pt>
                <c:pt idx="3">
                  <c:v>7.3508163811055724E-2</c:v>
                </c:pt>
                <c:pt idx="4">
                  <c:v>0.12202920268680195</c:v>
                </c:pt>
                <c:pt idx="5">
                  <c:v>0.1240678729629323</c:v>
                </c:pt>
                <c:pt idx="6">
                  <c:v>7.549330034606605E-2</c:v>
                </c:pt>
                <c:pt idx="7">
                  <c:v>0.1241630394101776</c:v>
                </c:pt>
                <c:pt idx="8">
                  <c:v>0.12237429076325945</c:v>
                </c:pt>
                <c:pt idx="9">
                  <c:v>0.12495888449603144</c:v>
                </c:pt>
                <c:pt idx="10">
                  <c:v>8.7948569662854567E-2</c:v>
                </c:pt>
                <c:pt idx="11">
                  <c:v>0.117897158782597</c:v>
                </c:pt>
                <c:pt idx="12">
                  <c:v>0.12494828996696405</c:v>
                </c:pt>
                <c:pt idx="13">
                  <c:v>0.10865217370143654</c:v>
                </c:pt>
                <c:pt idx="14">
                  <c:v>5.0270190172936331E-2</c:v>
                </c:pt>
                <c:pt idx="15">
                  <c:v>0.11661686225750145</c:v>
                </c:pt>
                <c:pt idx="16">
                  <c:v>0.10549639423193291</c:v>
                </c:pt>
                <c:pt idx="17">
                  <c:v>0.10354792412623938</c:v>
                </c:pt>
                <c:pt idx="18">
                  <c:v>6.3858903475120271E-2</c:v>
                </c:pt>
                <c:pt idx="19">
                  <c:v>0.12455534928400884</c:v>
                </c:pt>
                <c:pt idx="20">
                  <c:v>8.6707977020692467E-2</c:v>
                </c:pt>
                <c:pt idx="21">
                  <c:v>0.12142740035533708</c:v>
                </c:pt>
                <c:pt idx="22">
                  <c:v>0.11567823574512023</c:v>
                </c:pt>
                <c:pt idx="23">
                  <c:v>5.4321529341905261E-2</c:v>
                </c:pt>
                <c:pt idx="24">
                  <c:v>0.12475831166430673</c:v>
                </c:pt>
                <c:pt idx="25">
                  <c:v>7.7146158406485199E-2</c:v>
                </c:pt>
                <c:pt idx="26">
                  <c:v>0.10806053447050878</c:v>
                </c:pt>
                <c:pt idx="27">
                  <c:v>9.4392715650855052E-2</c:v>
                </c:pt>
                <c:pt idx="28">
                  <c:v>0.11850941539134217</c:v>
                </c:pt>
                <c:pt idx="29">
                  <c:v>8.5198875498910823E-2</c:v>
                </c:pt>
                <c:pt idx="30">
                  <c:v>6.7791337925738673E-2</c:v>
                </c:pt>
                <c:pt idx="31">
                  <c:v>7.7635800750499584E-2</c:v>
                </c:pt>
                <c:pt idx="32">
                  <c:v>8.0782062524589207E-2</c:v>
                </c:pt>
                <c:pt idx="33">
                  <c:v>2.0684039876179835E-2</c:v>
                </c:pt>
                <c:pt idx="34">
                  <c:v>3.0757337110896895E-2</c:v>
                </c:pt>
                <c:pt idx="35">
                  <c:v>2.8868629363586241E-2</c:v>
                </c:pt>
                <c:pt idx="36">
                  <c:v>8.2017591818837943E-2</c:v>
                </c:pt>
                <c:pt idx="37">
                  <c:v>0.11775248553515638</c:v>
                </c:pt>
                <c:pt idx="38">
                  <c:v>0.12433693768440258</c:v>
                </c:pt>
                <c:pt idx="39">
                  <c:v>5.2626627154950256E-2</c:v>
                </c:pt>
                <c:pt idx="40">
                  <c:v>5.1068382375133205E-2</c:v>
                </c:pt>
                <c:pt idx="41">
                  <c:v>7.1788105315185619E-2</c:v>
                </c:pt>
                <c:pt idx="42">
                  <c:v>2.2901730910644954E-2</c:v>
                </c:pt>
                <c:pt idx="43">
                  <c:v>0.10192697178237607</c:v>
                </c:pt>
                <c:pt idx="44">
                  <c:v>0.12445476239466122</c:v>
                </c:pt>
                <c:pt idx="45">
                  <c:v>0.12313893339898382</c:v>
                </c:pt>
                <c:pt idx="46">
                  <c:v>8.4880049312259259E-2</c:v>
                </c:pt>
                <c:pt idx="47">
                  <c:v>0.1244881810142715</c:v>
                </c:pt>
                <c:pt idx="48">
                  <c:v>9.4654666423208411E-2</c:v>
                </c:pt>
                <c:pt idx="49">
                  <c:v>9.3169611915634235E-2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C63-41E7-B69F-0D94EADA6382}"/>
            </c:ext>
          </c:extLst>
        </c:ser>
        <c:ser>
          <c:idx val="0"/>
          <c:order val="0"/>
          <c:tx>
            <c:strRef>
              <c:f>Логистическое!$A$2</c:f>
              <c:strCache>
                <c:ptCount val="1"/>
                <c:pt idx="0">
                  <c:v>Mu = 2, s = 1</c:v>
                </c:pt>
              </c:strCache>
            </c:strRef>
          </c:tx>
          <c:spPr>
            <a:ln w="28575">
              <a:noFill/>
            </a:ln>
          </c:spPr>
          <c:xVal>
            <c:numRef>
              <c:f>Логистическое!$A$3:$A$52</c:f>
              <c:numCache>
                <c:formatCode>General</c:formatCode>
                <c:ptCount val="50"/>
                <c:pt idx="0">
                  <c:v>2.5537474059967402</c:v>
                </c:pt>
                <c:pt idx="1">
                  <c:v>2.0404265139285727</c:v>
                </c:pt>
                <c:pt idx="2">
                  <c:v>3.6908577339826771</c:v>
                </c:pt>
                <c:pt idx="3">
                  <c:v>2.1022523136599927</c:v>
                </c:pt>
                <c:pt idx="4">
                  <c:v>3.0602187477252221</c:v>
                </c:pt>
                <c:pt idx="5">
                  <c:v>1.4731339404947017</c:v>
                </c:pt>
                <c:pt idx="6">
                  <c:v>1.8313203437046874</c:v>
                </c:pt>
                <c:pt idx="7">
                  <c:v>3.6860029571297002</c:v>
                </c:pt>
                <c:pt idx="8">
                  <c:v>-0.72602850717379042</c:v>
                </c:pt>
                <c:pt idx="9">
                  <c:v>1.3611236599780865</c:v>
                </c:pt>
                <c:pt idx="10">
                  <c:v>1.9756493457707263</c:v>
                </c:pt>
                <c:pt idx="11">
                  <c:v>2.4453308988455644</c:v>
                </c:pt>
                <c:pt idx="12">
                  <c:v>4.1178358015071312</c:v>
                </c:pt>
                <c:pt idx="13">
                  <c:v>0.71089731411844714</c:v>
                </c:pt>
                <c:pt idx="14">
                  <c:v>2.1617887848887789</c:v>
                </c:pt>
                <c:pt idx="15">
                  <c:v>0.88162001323233152</c:v>
                </c:pt>
                <c:pt idx="16">
                  <c:v>1.6107815258846312</c:v>
                </c:pt>
                <c:pt idx="17">
                  <c:v>0.39489856370011456</c:v>
                </c:pt>
                <c:pt idx="18">
                  <c:v>5.9571794158833562</c:v>
                </c:pt>
                <c:pt idx="19">
                  <c:v>3.3227048238305676</c:v>
                </c:pt>
                <c:pt idx="20">
                  <c:v>4.5274904068287807</c:v>
                </c:pt>
                <c:pt idx="21">
                  <c:v>4.1380557276334162</c:v>
                </c:pt>
                <c:pt idx="22">
                  <c:v>2.700531381912223</c:v>
                </c:pt>
                <c:pt idx="23">
                  <c:v>3.9165222421694192</c:v>
                </c:pt>
                <c:pt idx="24">
                  <c:v>10.329559939467194</c:v>
                </c:pt>
                <c:pt idx="25">
                  <c:v>1.8525572041317084</c:v>
                </c:pt>
                <c:pt idx="26">
                  <c:v>1.3498025299077443</c:v>
                </c:pt>
                <c:pt idx="27">
                  <c:v>1.8234872179835355</c:v>
                </c:pt>
                <c:pt idx="28">
                  <c:v>0.43260568162009672</c:v>
                </c:pt>
                <c:pt idx="29">
                  <c:v>4.4168929328236732</c:v>
                </c:pt>
                <c:pt idx="30">
                  <c:v>3.437566416433163</c:v>
                </c:pt>
                <c:pt idx="31">
                  <c:v>1.2512174967639651</c:v>
                </c:pt>
                <c:pt idx="32">
                  <c:v>2.183683363049437</c:v>
                </c:pt>
                <c:pt idx="33">
                  <c:v>2.5883082258699974</c:v>
                </c:pt>
                <c:pt idx="34">
                  <c:v>3.7347494435985849</c:v>
                </c:pt>
                <c:pt idx="35">
                  <c:v>1.1316811224262269</c:v>
                </c:pt>
                <c:pt idx="36">
                  <c:v>-0.56818862256441349</c:v>
                </c:pt>
                <c:pt idx="37">
                  <c:v>1.8790025086898445</c:v>
                </c:pt>
                <c:pt idx="38">
                  <c:v>4.3180214161846413</c:v>
                </c:pt>
                <c:pt idx="39">
                  <c:v>0.85972954222581266</c:v>
                </c:pt>
                <c:pt idx="40">
                  <c:v>2.3977957164922836</c:v>
                </c:pt>
                <c:pt idx="41">
                  <c:v>2.1527991350886726</c:v>
                </c:pt>
                <c:pt idx="42">
                  <c:v>2.031340064549962</c:v>
                </c:pt>
                <c:pt idx="43">
                  <c:v>3.3392872379897343</c:v>
                </c:pt>
                <c:pt idx="44">
                  <c:v>2.7093796256427591</c:v>
                </c:pt>
                <c:pt idx="45">
                  <c:v>4.2490775546646011</c:v>
                </c:pt>
                <c:pt idx="46">
                  <c:v>1.6368921440561062</c:v>
                </c:pt>
                <c:pt idx="47">
                  <c:v>3.5865242263969521</c:v>
                </c:pt>
                <c:pt idx="48">
                  <c:v>-0.55064056555038166</c:v>
                </c:pt>
                <c:pt idx="49">
                  <c:v>4.2204410488143402</c:v>
                </c:pt>
              </c:numCache>
            </c:numRef>
          </c:xVal>
          <c:yVal>
            <c:numRef>
              <c:f>Логистическое!$B$3:$B$52</c:f>
              <c:numCache>
                <c:formatCode>General</c:formatCode>
                <c:ptCount val="50"/>
                <c:pt idx="0">
                  <c:v>0.23177376337337913</c:v>
                </c:pt>
                <c:pt idx="1">
                  <c:v>0.24989788387664191</c:v>
                </c:pt>
                <c:pt idx="2">
                  <c:v>0.13143208074751198</c:v>
                </c:pt>
                <c:pt idx="3">
                  <c:v>0.24934766606907033</c:v>
                </c:pt>
                <c:pt idx="4">
                  <c:v>0.19108100817723178</c:v>
                </c:pt>
                <c:pt idx="5">
                  <c:v>0.23342295494920504</c:v>
                </c:pt>
                <c:pt idx="6">
                  <c:v>0.24823009743223784</c:v>
                </c:pt>
                <c:pt idx="7">
                  <c:v>0.13187183167104874</c:v>
                </c:pt>
                <c:pt idx="8">
                  <c:v>5.7678136109640121E-2</c:v>
                </c:pt>
                <c:pt idx="9">
                  <c:v>0.22612993182052321</c:v>
                </c:pt>
                <c:pt idx="10">
                  <c:v>0.24996294401455188</c:v>
                </c:pt>
                <c:pt idx="11">
                  <c:v>0.2380034985826569</c:v>
                </c:pt>
                <c:pt idx="12">
                  <c:v>9.5845863617196173E-2</c:v>
                </c:pt>
                <c:pt idx="13">
                  <c:v>0.16934668620352511</c:v>
                </c:pt>
                <c:pt idx="14">
                  <c:v>0.24837113505227748</c:v>
                </c:pt>
                <c:pt idx="15">
                  <c:v>0.18564234944045663</c:v>
                </c:pt>
                <c:pt idx="16">
                  <c:v>0.24076583770971283</c:v>
                </c:pt>
                <c:pt idx="17">
                  <c:v>0.13929063126691688</c:v>
                </c:pt>
                <c:pt idx="18">
                  <c:v>1.8406480629945331E-2</c:v>
                </c:pt>
                <c:pt idx="19">
                  <c:v>0.16611367140626498</c:v>
                </c:pt>
                <c:pt idx="20">
                  <c:v>6.8484235422285919E-2</c:v>
                </c:pt>
                <c:pt idx="21">
                  <c:v>9.4332393931139805E-2</c:v>
                </c:pt>
                <c:pt idx="22">
                  <c:v>0.22167323313859916</c:v>
                </c:pt>
                <c:pt idx="23">
                  <c:v>0.11180185099505023</c:v>
                </c:pt>
                <c:pt idx="24">
                  <c:v>2.4116181031885714E-4</c:v>
                </c:pt>
                <c:pt idx="25">
                  <c:v>0.24864619667560814</c:v>
                </c:pt>
                <c:pt idx="26">
                  <c:v>0.22533373931082323</c:v>
                </c:pt>
                <c:pt idx="27">
                  <c:v>0.2480627698241733</c:v>
                </c:pt>
                <c:pt idx="28">
                  <c:v>0.14280149329757916</c:v>
                </c:pt>
                <c:pt idx="29">
                  <c:v>7.5187007565418185E-2</c:v>
                </c:pt>
                <c:pt idx="30">
                  <c:v>0.15508824526184734</c:v>
                </c:pt>
                <c:pt idx="31">
                  <c:v>0.21799001144785279</c:v>
                </c:pt>
                <c:pt idx="32">
                  <c:v>0.24790307786105001</c:v>
                </c:pt>
                <c:pt idx="33">
                  <c:v>0.22955761176443443</c:v>
                </c:pt>
                <c:pt idx="34">
                  <c:v>0.12748675668211362</c:v>
                </c:pt>
                <c:pt idx="35">
                  <c:v>0.20822236878643707</c:v>
                </c:pt>
                <c:pt idx="36">
                  <c:v>6.614258357174306E-2</c:v>
                </c:pt>
                <c:pt idx="37">
                  <c:v>0.24908720354140707</c:v>
                </c:pt>
                <c:pt idx="38">
                  <c:v>8.1605813029877794E-2</c:v>
                </c:pt>
                <c:pt idx="39">
                  <c:v>0.18357561208853213</c:v>
                </c:pt>
                <c:pt idx="40">
                  <c:v>0.24036501836439686</c:v>
                </c:pt>
                <c:pt idx="41">
                  <c:v>0.24854643601734946</c:v>
                </c:pt>
                <c:pt idx="42">
                  <c:v>0.24993862256985366</c:v>
                </c:pt>
                <c:pt idx="43">
                  <c:v>0.1645182022175504</c:v>
                </c:pt>
                <c:pt idx="44">
                  <c:v>0.22101014807921257</c:v>
                </c:pt>
                <c:pt idx="45">
                  <c:v>8.6322356808167924E-2</c:v>
                </c:pt>
                <c:pt idx="46">
                  <c:v>0.24193729803451089</c:v>
                </c:pt>
                <c:pt idx="47">
                  <c:v>0.14101647817045662</c:v>
                </c:pt>
                <c:pt idx="48">
                  <c:v>6.7144097611443243E-2</c:v>
                </c:pt>
                <c:pt idx="49">
                  <c:v>8.8339582673810937E-2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63-41E7-B69F-0D94EADA6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91808"/>
        <c:axId val="141193600"/>
      </c:scatterChart>
      <c:valAx>
        <c:axId val="14119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193600"/>
        <c:crosses val="autoZero"/>
        <c:crossBetween val="midCat"/>
      </c:valAx>
      <c:valAx>
        <c:axId val="141193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1191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</a:t>
            </a:r>
            <a:r>
              <a:rPr lang="ru-RU" baseline="0"/>
              <a:t> плотности треугольное распределение</a:t>
            </a:r>
            <a:endParaRPr lang="ru-RU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486221444541655"/>
          <c:y val="0.13396323616017225"/>
          <c:w val="0.73093574414309326"/>
          <c:h val="0.79417483903849095"/>
        </c:manualLayout>
      </c:layout>
      <c:scatterChart>
        <c:scatterStyle val="lineMarker"/>
        <c:varyColors val="0"/>
        <c:ser>
          <c:idx val="1"/>
          <c:order val="1"/>
          <c:tx>
            <c:strRef>
              <c:f>Треугольное!$C$2</c:f>
              <c:strCache>
                <c:ptCount val="1"/>
                <c:pt idx="0">
                  <c:v>a = 3, b = 7, c = 5</c:v>
                </c:pt>
              </c:strCache>
            </c:strRef>
          </c:tx>
          <c:spPr>
            <a:ln w="28575">
              <a:noFill/>
            </a:ln>
          </c:spPr>
          <c:xVal>
            <c:numRef>
              <c:f>Треугольное!$C$3:$C$52</c:f>
              <c:numCache>
                <c:formatCode>General</c:formatCode>
                <c:ptCount val="50"/>
                <c:pt idx="0">
                  <c:v>5.5051764303120381</c:v>
                </c:pt>
                <c:pt idx="1">
                  <c:v>3.6341155024109955</c:v>
                </c:pt>
                <c:pt idx="2">
                  <c:v>5.0357129878563436</c:v>
                </c:pt>
                <c:pt idx="3">
                  <c:v>5.4609421502932252</c:v>
                </c:pt>
                <c:pt idx="4">
                  <c:v>5.530881030659347</c:v>
                </c:pt>
                <c:pt idx="5">
                  <c:v>4.6129611161825617</c:v>
                </c:pt>
                <c:pt idx="6">
                  <c:v>5.7895935578808189</c:v>
                </c:pt>
                <c:pt idx="7">
                  <c:v>5.5365601401031972</c:v>
                </c:pt>
                <c:pt idx="8">
                  <c:v>5.3234906250165492</c:v>
                </c:pt>
                <c:pt idx="9">
                  <c:v>5.6909170384371688</c:v>
                </c:pt>
                <c:pt idx="10">
                  <c:v>5.6469298265852181</c:v>
                </c:pt>
                <c:pt idx="11">
                  <c:v>4.8257018111596111</c:v>
                </c:pt>
                <c:pt idx="12">
                  <c:v>3.9923016339835367</c:v>
                </c:pt>
                <c:pt idx="13">
                  <c:v>5.762836149313177</c:v>
                </c:pt>
                <c:pt idx="14">
                  <c:v>5.5255451671403284</c:v>
                </c:pt>
                <c:pt idx="15">
                  <c:v>5.3601440793038977</c:v>
                </c:pt>
                <c:pt idx="16">
                  <c:v>4.7924387694984514</c:v>
                </c:pt>
                <c:pt idx="17">
                  <c:v>3.3610839018392822</c:v>
                </c:pt>
                <c:pt idx="18">
                  <c:v>4.1584914879352404</c:v>
                </c:pt>
                <c:pt idx="19">
                  <c:v>4.1462431203787551</c:v>
                </c:pt>
                <c:pt idx="20">
                  <c:v>5.0193464832895751</c:v>
                </c:pt>
                <c:pt idx="21">
                  <c:v>4.8023600577156955</c:v>
                </c:pt>
                <c:pt idx="22">
                  <c:v>3.921449983544453</c:v>
                </c:pt>
                <c:pt idx="23">
                  <c:v>4.4862658854823501</c:v>
                </c:pt>
                <c:pt idx="24">
                  <c:v>5.268121330655605</c:v>
                </c:pt>
                <c:pt idx="25">
                  <c:v>5.6063000498112254</c:v>
                </c:pt>
                <c:pt idx="26">
                  <c:v>4.9959342877917754</c:v>
                </c:pt>
                <c:pt idx="27">
                  <c:v>4.2256431292681675</c:v>
                </c:pt>
                <c:pt idx="28">
                  <c:v>5.6782332052407334</c:v>
                </c:pt>
                <c:pt idx="29">
                  <c:v>4.7269957676290613</c:v>
                </c:pt>
                <c:pt idx="30">
                  <c:v>4.6088624897407406</c:v>
                </c:pt>
                <c:pt idx="31">
                  <c:v>5.483276508201719</c:v>
                </c:pt>
                <c:pt idx="32">
                  <c:v>4.3206069888734042</c:v>
                </c:pt>
                <c:pt idx="33">
                  <c:v>4.8910171480415006</c:v>
                </c:pt>
                <c:pt idx="34">
                  <c:v>4.3741259831470387</c:v>
                </c:pt>
                <c:pt idx="35">
                  <c:v>5.6508633916502387</c:v>
                </c:pt>
                <c:pt idx="36">
                  <c:v>5.2098557484701651</c:v>
                </c:pt>
                <c:pt idx="37">
                  <c:v>4.7307390471214763</c:v>
                </c:pt>
                <c:pt idx="38">
                  <c:v>4.7652237697889692</c:v>
                </c:pt>
                <c:pt idx="39">
                  <c:v>5.6238738777972763</c:v>
                </c:pt>
                <c:pt idx="40">
                  <c:v>5.1650642803067317</c:v>
                </c:pt>
                <c:pt idx="41">
                  <c:v>5.7299222603932378</c:v>
                </c:pt>
                <c:pt idx="42">
                  <c:v>5.0340942423470132</c:v>
                </c:pt>
                <c:pt idx="43">
                  <c:v>4.6255480502350732</c:v>
                </c:pt>
                <c:pt idx="44">
                  <c:v>5.6358356268462018</c:v>
                </c:pt>
                <c:pt idx="45">
                  <c:v>4.4396137784543885</c:v>
                </c:pt>
                <c:pt idx="46">
                  <c:v>4.4409478345081341</c:v>
                </c:pt>
                <c:pt idx="47">
                  <c:v>4.1956371788924116</c:v>
                </c:pt>
                <c:pt idx="48">
                  <c:v>4.6660303649608057</c:v>
                </c:pt>
                <c:pt idx="49">
                  <c:v>3.141581356316935</c:v>
                </c:pt>
              </c:numCache>
            </c:numRef>
          </c:xVal>
          <c:yVal>
            <c:numRef>
              <c:f>Треугольное!$D$3:$D$52</c:f>
              <c:numCache>
                <c:formatCode>General</c:formatCode>
                <c:ptCount val="50"/>
                <c:pt idx="0">
                  <c:v>0.37370589242199048</c:v>
                </c:pt>
                <c:pt idx="1">
                  <c:v>0.15852887560274886</c:v>
                </c:pt>
                <c:pt idx="2">
                  <c:v>0.4910717530359141</c:v>
                </c:pt>
                <c:pt idx="3">
                  <c:v>0.38476446242669371</c:v>
                </c:pt>
                <c:pt idx="4">
                  <c:v>0.36727974233516325</c:v>
                </c:pt>
                <c:pt idx="5">
                  <c:v>0.40324027904564042</c:v>
                </c:pt>
                <c:pt idx="6">
                  <c:v>0.30260161052979528</c:v>
                </c:pt>
                <c:pt idx="7">
                  <c:v>0.3658599649742007</c:v>
                </c:pt>
                <c:pt idx="8">
                  <c:v>0.41912734374586269</c:v>
                </c:pt>
                <c:pt idx="9">
                  <c:v>0.3272707403907078</c:v>
                </c:pt>
                <c:pt idx="10">
                  <c:v>0.33826754335369547</c:v>
                </c:pt>
                <c:pt idx="11">
                  <c:v>0.45642545278990276</c:v>
                </c:pt>
                <c:pt idx="12">
                  <c:v>0.24807540849588416</c:v>
                </c:pt>
                <c:pt idx="13">
                  <c:v>0.30929096267170575</c:v>
                </c:pt>
                <c:pt idx="14">
                  <c:v>0.3686137082149179</c:v>
                </c:pt>
                <c:pt idx="15">
                  <c:v>0.40996398017402558</c:v>
                </c:pt>
                <c:pt idx="16">
                  <c:v>0.44810969237461284</c:v>
                </c:pt>
                <c:pt idx="17">
                  <c:v>9.0270975459820546E-2</c:v>
                </c:pt>
                <c:pt idx="18">
                  <c:v>0.28962287198381009</c:v>
                </c:pt>
                <c:pt idx="19">
                  <c:v>0.28656078009468877</c:v>
                </c:pt>
                <c:pt idx="20">
                  <c:v>0.49516337917760622</c:v>
                </c:pt>
                <c:pt idx="21">
                  <c:v>0.45059001442892388</c:v>
                </c:pt>
                <c:pt idx="22">
                  <c:v>0.23036249588611324</c:v>
                </c:pt>
                <c:pt idx="23">
                  <c:v>0.37156647137058751</c:v>
                </c:pt>
                <c:pt idx="24">
                  <c:v>0.43296966733609876</c:v>
                </c:pt>
                <c:pt idx="25">
                  <c:v>0.34842498754719364</c:v>
                </c:pt>
                <c:pt idx="26">
                  <c:v>0.49898357194794385</c:v>
                </c:pt>
                <c:pt idx="27">
                  <c:v>0.30641078231704189</c:v>
                </c:pt>
                <c:pt idx="28">
                  <c:v>0.33044169868981665</c:v>
                </c:pt>
                <c:pt idx="29">
                  <c:v>0.43174894190726532</c:v>
                </c:pt>
                <c:pt idx="30">
                  <c:v>0.40221562243518516</c:v>
                </c:pt>
                <c:pt idx="31">
                  <c:v>0.37918087294957026</c:v>
                </c:pt>
                <c:pt idx="32">
                  <c:v>0.33015174721835105</c:v>
                </c:pt>
                <c:pt idx="33">
                  <c:v>0.47275428701037514</c:v>
                </c:pt>
                <c:pt idx="34">
                  <c:v>0.34353149578675968</c:v>
                </c:pt>
                <c:pt idx="35">
                  <c:v>0.33728415208744034</c:v>
                </c:pt>
                <c:pt idx="36">
                  <c:v>0.44753606288245873</c:v>
                </c:pt>
                <c:pt idx="37">
                  <c:v>0.43268476178036908</c:v>
                </c:pt>
                <c:pt idx="38">
                  <c:v>0.44130594244724231</c:v>
                </c:pt>
                <c:pt idx="39">
                  <c:v>0.34403153055068092</c:v>
                </c:pt>
                <c:pt idx="40">
                  <c:v>0.45873392992331707</c:v>
                </c:pt>
                <c:pt idx="41">
                  <c:v>0.31751943490169054</c:v>
                </c:pt>
                <c:pt idx="42">
                  <c:v>0.4914764394132467</c:v>
                </c:pt>
                <c:pt idx="43">
                  <c:v>0.4063870125587683</c:v>
                </c:pt>
                <c:pt idx="44">
                  <c:v>0.34104109328844956</c:v>
                </c:pt>
                <c:pt idx="45">
                  <c:v>0.35990344461359713</c:v>
                </c:pt>
                <c:pt idx="46">
                  <c:v>0.36023695862703353</c:v>
                </c:pt>
                <c:pt idx="47">
                  <c:v>0.2989092947231029</c:v>
                </c:pt>
                <c:pt idx="48">
                  <c:v>0.41650759124020142</c:v>
                </c:pt>
                <c:pt idx="49">
                  <c:v>3.5395339079233756E-2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63-41E7-B69F-0D94EADA6382}"/>
            </c:ext>
          </c:extLst>
        </c:ser>
        <c:ser>
          <c:idx val="2"/>
          <c:order val="2"/>
          <c:tx>
            <c:strRef>
              <c:f>Треугольное!$E$2</c:f>
              <c:strCache>
                <c:ptCount val="1"/>
                <c:pt idx="0">
                  <c:v>a = 15, b = 20, c = 18</c:v>
                </c:pt>
              </c:strCache>
            </c:strRef>
          </c:tx>
          <c:spPr>
            <a:ln w="28575">
              <a:noFill/>
            </a:ln>
          </c:spPr>
          <c:xVal>
            <c:numRef>
              <c:f>Треугольное!$E$3:$E$52</c:f>
              <c:numCache>
                <c:formatCode>General</c:formatCode>
                <c:ptCount val="50"/>
                <c:pt idx="0">
                  <c:v>18.336934344972725</c:v>
                </c:pt>
                <c:pt idx="1">
                  <c:v>18.55152165212775</c:v>
                </c:pt>
                <c:pt idx="2">
                  <c:v>17.04422146844891</c:v>
                </c:pt>
                <c:pt idx="3">
                  <c:v>18.247237627121415</c:v>
                </c:pt>
                <c:pt idx="4">
                  <c:v>17.464339493377949</c:v>
                </c:pt>
                <c:pt idx="5">
                  <c:v>18.489064401027299</c:v>
                </c:pt>
                <c:pt idx="6">
                  <c:v>18.335672417143375</c:v>
                </c:pt>
                <c:pt idx="7">
                  <c:v>17.562217534011697</c:v>
                </c:pt>
                <c:pt idx="8">
                  <c:v>16.081530706538487</c:v>
                </c:pt>
                <c:pt idx="9">
                  <c:v>17.481828932400646</c:v>
                </c:pt>
                <c:pt idx="10">
                  <c:v>17.256242001273648</c:v>
                </c:pt>
                <c:pt idx="11">
                  <c:v>18.264707281213955</c:v>
                </c:pt>
                <c:pt idx="12">
                  <c:v>17.164329360868479</c:v>
                </c:pt>
                <c:pt idx="13">
                  <c:v>18.461445204994696</c:v>
                </c:pt>
                <c:pt idx="14">
                  <c:v>16.508755581678734</c:v>
                </c:pt>
                <c:pt idx="15">
                  <c:v>17.982426611516225</c:v>
                </c:pt>
                <c:pt idx="16">
                  <c:v>18.787288407751142</c:v>
                </c:pt>
                <c:pt idx="17">
                  <c:v>16.909769030681279</c:v>
                </c:pt>
                <c:pt idx="18">
                  <c:v>18.754939045379583</c:v>
                </c:pt>
                <c:pt idx="19">
                  <c:v>16.309577003137619</c:v>
                </c:pt>
                <c:pt idx="20">
                  <c:v>18.842368854712007</c:v>
                </c:pt>
                <c:pt idx="21">
                  <c:v>18.081336925897631</c:v>
                </c:pt>
                <c:pt idx="22">
                  <c:v>17.997139610168048</c:v>
                </c:pt>
                <c:pt idx="23">
                  <c:v>18.679476154842625</c:v>
                </c:pt>
                <c:pt idx="24">
                  <c:v>17.936490057757755</c:v>
                </c:pt>
                <c:pt idx="25">
                  <c:v>16.917709301960908</c:v>
                </c:pt>
                <c:pt idx="26">
                  <c:v>18.591996179623791</c:v>
                </c:pt>
                <c:pt idx="27">
                  <c:v>16.060308946085808</c:v>
                </c:pt>
                <c:pt idx="28">
                  <c:v>17.565618002042161</c:v>
                </c:pt>
                <c:pt idx="29">
                  <c:v>18.376341976818171</c:v>
                </c:pt>
                <c:pt idx="30">
                  <c:v>16.919682950649868</c:v>
                </c:pt>
                <c:pt idx="31">
                  <c:v>17.383084766279413</c:v>
                </c:pt>
                <c:pt idx="32">
                  <c:v>17.441035311175888</c:v>
                </c:pt>
                <c:pt idx="33">
                  <c:v>17.810444398540053</c:v>
                </c:pt>
                <c:pt idx="34">
                  <c:v>17.013799461666583</c:v>
                </c:pt>
                <c:pt idx="35">
                  <c:v>17.952566003118214</c:v>
                </c:pt>
                <c:pt idx="36">
                  <c:v>16.773551416309431</c:v>
                </c:pt>
                <c:pt idx="37">
                  <c:v>16.086569512964218</c:v>
                </c:pt>
                <c:pt idx="38">
                  <c:v>18.664927504539374</c:v>
                </c:pt>
                <c:pt idx="39">
                  <c:v>16.292862579504384</c:v>
                </c:pt>
                <c:pt idx="40">
                  <c:v>18.128202466358022</c:v>
                </c:pt>
                <c:pt idx="41">
                  <c:v>18.674916083487162</c:v>
                </c:pt>
                <c:pt idx="42">
                  <c:v>16.86385346269396</c:v>
                </c:pt>
                <c:pt idx="43">
                  <c:v>18.774729489745791</c:v>
                </c:pt>
                <c:pt idx="44">
                  <c:v>18.562697179256467</c:v>
                </c:pt>
                <c:pt idx="45">
                  <c:v>17.572594693278916</c:v>
                </c:pt>
                <c:pt idx="46">
                  <c:v>17.716632774986081</c:v>
                </c:pt>
                <c:pt idx="47">
                  <c:v>18.397440533907051</c:v>
                </c:pt>
                <c:pt idx="48">
                  <c:v>18.538841518551333</c:v>
                </c:pt>
                <c:pt idx="49">
                  <c:v>17.39552493114552</c:v>
                </c:pt>
              </c:numCache>
            </c:numRef>
          </c:xVal>
          <c:yVal>
            <c:numRef>
              <c:f>Треугольное!$F$3:$F$52</c:f>
              <c:numCache>
                <c:formatCode>General</c:formatCode>
                <c:ptCount val="50"/>
                <c:pt idx="0">
                  <c:v>0.33261313100545492</c:v>
                </c:pt>
                <c:pt idx="1">
                  <c:v>0.28969566957444998</c:v>
                </c:pt>
                <c:pt idx="2">
                  <c:v>0.27256286245985467</c:v>
                </c:pt>
                <c:pt idx="3">
                  <c:v>0.35055247457571709</c:v>
                </c:pt>
                <c:pt idx="4">
                  <c:v>0.32857859911705989</c:v>
                </c:pt>
                <c:pt idx="5">
                  <c:v>0.30218711979454016</c:v>
                </c:pt>
                <c:pt idx="6">
                  <c:v>0.33286551657132507</c:v>
                </c:pt>
                <c:pt idx="7">
                  <c:v>0.34162900453489298</c:v>
                </c:pt>
                <c:pt idx="8">
                  <c:v>0.14420409420513161</c:v>
                </c:pt>
                <c:pt idx="9">
                  <c:v>0.33091052432008611</c:v>
                </c:pt>
                <c:pt idx="10">
                  <c:v>0.30083226683648639</c:v>
                </c:pt>
                <c:pt idx="11">
                  <c:v>0.34705854375720901</c:v>
                </c:pt>
                <c:pt idx="12">
                  <c:v>0.28857724811579716</c:v>
                </c:pt>
                <c:pt idx="13">
                  <c:v>0.30771095900106077</c:v>
                </c:pt>
                <c:pt idx="14">
                  <c:v>0.20116741089049792</c:v>
                </c:pt>
                <c:pt idx="15">
                  <c:v>0.39765688153549661</c:v>
                </c:pt>
                <c:pt idx="16">
                  <c:v>0.2425423184497717</c:v>
                </c:pt>
                <c:pt idx="17">
                  <c:v>0.25463587075750382</c:v>
                </c:pt>
                <c:pt idx="18">
                  <c:v>0.24901219092408339</c:v>
                </c:pt>
                <c:pt idx="19">
                  <c:v>0.17461026708501587</c:v>
                </c:pt>
                <c:pt idx="20">
                  <c:v>0.2315262290575987</c:v>
                </c:pt>
                <c:pt idx="21">
                  <c:v>0.38373261482047383</c:v>
                </c:pt>
                <c:pt idx="22">
                  <c:v>0.39961861468907312</c:v>
                </c:pt>
                <c:pt idx="23">
                  <c:v>0.26410476903147495</c:v>
                </c:pt>
                <c:pt idx="24">
                  <c:v>0.39153200770103402</c:v>
                </c:pt>
                <c:pt idx="25">
                  <c:v>0.25569457359478776</c:v>
                </c:pt>
                <c:pt idx="26">
                  <c:v>0.28160076407524171</c:v>
                </c:pt>
                <c:pt idx="27">
                  <c:v>0.14137452614477439</c:v>
                </c:pt>
                <c:pt idx="28">
                  <c:v>0.34208240027228809</c:v>
                </c:pt>
                <c:pt idx="29">
                  <c:v>0.32473160463636574</c:v>
                </c:pt>
                <c:pt idx="30">
                  <c:v>0.25595772675331574</c:v>
                </c:pt>
                <c:pt idx="31">
                  <c:v>0.31774463550392179</c:v>
                </c:pt>
                <c:pt idx="32">
                  <c:v>0.32547137482345173</c:v>
                </c:pt>
                <c:pt idx="33">
                  <c:v>0.37472591980534037</c:v>
                </c:pt>
                <c:pt idx="34">
                  <c:v>0.26850659488887774</c:v>
                </c:pt>
                <c:pt idx="35">
                  <c:v>0.39367546708242857</c:v>
                </c:pt>
                <c:pt idx="36">
                  <c:v>0.23647352217459078</c:v>
                </c:pt>
                <c:pt idx="37">
                  <c:v>0.14487593506189569</c:v>
                </c:pt>
                <c:pt idx="38">
                  <c:v>0.26701449909212516</c:v>
                </c:pt>
                <c:pt idx="39">
                  <c:v>0.17238167726725115</c:v>
                </c:pt>
                <c:pt idx="40">
                  <c:v>0.37435950672839552</c:v>
                </c:pt>
                <c:pt idx="41">
                  <c:v>0.26501678330256767</c:v>
                </c:pt>
                <c:pt idx="42">
                  <c:v>0.24851379502586138</c:v>
                </c:pt>
                <c:pt idx="43">
                  <c:v>0.24505410205084174</c:v>
                </c:pt>
                <c:pt idx="44">
                  <c:v>0.28746056414870652</c:v>
                </c:pt>
                <c:pt idx="45">
                  <c:v>0.34301262577052211</c:v>
                </c:pt>
                <c:pt idx="46">
                  <c:v>0.36221770333147751</c:v>
                </c:pt>
                <c:pt idx="47">
                  <c:v>0.32051189321858969</c:v>
                </c:pt>
                <c:pt idx="48">
                  <c:v>0.29223169628973339</c:v>
                </c:pt>
                <c:pt idx="49">
                  <c:v>0.31940332415273598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C63-41E7-B69F-0D94EADA6382}"/>
            </c:ext>
          </c:extLst>
        </c:ser>
        <c:ser>
          <c:idx val="0"/>
          <c:order val="0"/>
          <c:tx>
            <c:strRef>
              <c:f>Треугольное!$A$2</c:f>
              <c:strCache>
                <c:ptCount val="1"/>
                <c:pt idx="0">
                  <c:v>a = 1, b = 3, c = 2</c:v>
                </c:pt>
              </c:strCache>
            </c:strRef>
          </c:tx>
          <c:spPr>
            <a:ln w="28575">
              <a:noFill/>
            </a:ln>
          </c:spPr>
          <c:xVal>
            <c:numRef>
              <c:f>Треугольное!$A$3:$A$52</c:f>
              <c:numCache>
                <c:formatCode>General</c:formatCode>
                <c:ptCount val="50"/>
                <c:pt idx="0">
                  <c:v>1.8932326440029836</c:v>
                </c:pt>
                <c:pt idx="1">
                  <c:v>2.3439485270202982</c:v>
                </c:pt>
                <c:pt idx="2">
                  <c:v>2.2214801726041746</c:v>
                </c:pt>
                <c:pt idx="3">
                  <c:v>1.4208551017242619</c:v>
                </c:pt>
                <c:pt idx="4">
                  <c:v>2.1265621465716817</c:v>
                </c:pt>
                <c:pt idx="5">
                  <c:v>2.1941758280098975</c:v>
                </c:pt>
                <c:pt idx="6">
                  <c:v>1.1771010969639584</c:v>
                </c:pt>
                <c:pt idx="7">
                  <c:v>1.9285950212311072</c:v>
                </c:pt>
                <c:pt idx="8">
                  <c:v>1.8966410713962483</c:v>
                </c:pt>
                <c:pt idx="9">
                  <c:v>1.7420181884387183</c:v>
                </c:pt>
                <c:pt idx="10">
                  <c:v>2.4038332623511884</c:v>
                </c:pt>
                <c:pt idx="11">
                  <c:v>2.2669549241752716</c:v>
                </c:pt>
                <c:pt idx="12">
                  <c:v>2.1799159049925168</c:v>
                </c:pt>
                <c:pt idx="13">
                  <c:v>1.9138918986427143</c:v>
                </c:pt>
                <c:pt idx="14">
                  <c:v>2.2120133573689924</c:v>
                </c:pt>
                <c:pt idx="15">
                  <c:v>1.7445379683200457</c:v>
                </c:pt>
                <c:pt idx="16">
                  <c:v>1.8444954440195565</c:v>
                </c:pt>
                <c:pt idx="17">
                  <c:v>1.9310823123163439</c:v>
                </c:pt>
                <c:pt idx="18">
                  <c:v>2.3747516321067463</c:v>
                </c:pt>
                <c:pt idx="19">
                  <c:v>1.4930516483110281</c:v>
                </c:pt>
                <c:pt idx="20">
                  <c:v>2.1366189604804009</c:v>
                </c:pt>
                <c:pt idx="21">
                  <c:v>1.8340655606707847</c:v>
                </c:pt>
                <c:pt idx="22">
                  <c:v>1.4570170343258568</c:v>
                </c:pt>
                <c:pt idx="23">
                  <c:v>1.6089376200405983</c:v>
                </c:pt>
                <c:pt idx="24">
                  <c:v>1.3941692542272779</c:v>
                </c:pt>
                <c:pt idx="25">
                  <c:v>1.9303327613190064</c:v>
                </c:pt>
                <c:pt idx="26">
                  <c:v>2.3851143595583979</c:v>
                </c:pt>
                <c:pt idx="27">
                  <c:v>2.0411813113853423</c:v>
                </c:pt>
                <c:pt idx="28">
                  <c:v>1.9943608188157409</c:v>
                </c:pt>
                <c:pt idx="29">
                  <c:v>2.3949671472762288</c:v>
                </c:pt>
                <c:pt idx="30">
                  <c:v>1.6599997611478894</c:v>
                </c:pt>
                <c:pt idx="31">
                  <c:v>1.8706218998204096</c:v>
                </c:pt>
                <c:pt idx="32">
                  <c:v>1.8897688247176982</c:v>
                </c:pt>
                <c:pt idx="33">
                  <c:v>1.75033784250774</c:v>
                </c:pt>
                <c:pt idx="34">
                  <c:v>2.0033655157557004</c:v>
                </c:pt>
                <c:pt idx="35">
                  <c:v>1.5267491131645163</c:v>
                </c:pt>
                <c:pt idx="36">
                  <c:v>2.0171094756079109</c:v>
                </c:pt>
                <c:pt idx="37">
                  <c:v>2.3895067154762208</c:v>
                </c:pt>
                <c:pt idx="38">
                  <c:v>2.0559365682154707</c:v>
                </c:pt>
                <c:pt idx="39">
                  <c:v>2.3484836857777389</c:v>
                </c:pt>
                <c:pt idx="40">
                  <c:v>2.1465220664488167</c:v>
                </c:pt>
                <c:pt idx="41">
                  <c:v>1.9392706362681191</c:v>
                </c:pt>
                <c:pt idx="42">
                  <c:v>2.1772803701492096</c:v>
                </c:pt>
                <c:pt idx="43">
                  <c:v>1.3591410663329013</c:v>
                </c:pt>
                <c:pt idx="44">
                  <c:v>2.2297094030501725</c:v>
                </c:pt>
                <c:pt idx="45">
                  <c:v>2.1836505536338313</c:v>
                </c:pt>
                <c:pt idx="46">
                  <c:v>1.9970666659266998</c:v>
                </c:pt>
                <c:pt idx="47">
                  <c:v>1.557558393969777</c:v>
                </c:pt>
                <c:pt idx="48">
                  <c:v>1.6689357784733456</c:v>
                </c:pt>
                <c:pt idx="49">
                  <c:v>1.8076434609730274</c:v>
                </c:pt>
              </c:numCache>
            </c:numRef>
          </c:xVal>
          <c:yVal>
            <c:numRef>
              <c:f>Треугольное!$B$3:$B$52</c:f>
              <c:numCache>
                <c:formatCode>General</c:formatCode>
                <c:ptCount val="50"/>
                <c:pt idx="0">
                  <c:v>0.89323264400298363</c:v>
                </c:pt>
                <c:pt idx="1">
                  <c:v>0.65605147297970179</c:v>
                </c:pt>
                <c:pt idx="2">
                  <c:v>0.77851982739582537</c:v>
                </c:pt>
                <c:pt idx="3">
                  <c:v>0.42085510172426188</c:v>
                </c:pt>
                <c:pt idx="4">
                  <c:v>0.87343785342831826</c:v>
                </c:pt>
                <c:pt idx="5">
                  <c:v>0.80582417199010248</c:v>
                </c:pt>
                <c:pt idx="6">
                  <c:v>0.17710109696395837</c:v>
                </c:pt>
                <c:pt idx="7">
                  <c:v>0.92859502123110715</c:v>
                </c:pt>
                <c:pt idx="8">
                  <c:v>0.89664107139624827</c:v>
                </c:pt>
                <c:pt idx="9">
                  <c:v>0.74201818843871825</c:v>
                </c:pt>
                <c:pt idx="10">
                  <c:v>0.59616673764881156</c:v>
                </c:pt>
                <c:pt idx="11">
                  <c:v>0.73304507582472844</c:v>
                </c:pt>
                <c:pt idx="12">
                  <c:v>0.82008409500748325</c:v>
                </c:pt>
                <c:pt idx="13">
                  <c:v>0.91389189864271425</c:v>
                </c:pt>
                <c:pt idx="14">
                  <c:v>0.78798664263100759</c:v>
                </c:pt>
                <c:pt idx="15">
                  <c:v>0.74453796832004571</c:v>
                </c:pt>
                <c:pt idx="16">
                  <c:v>0.84449544401955645</c:v>
                </c:pt>
                <c:pt idx="17">
                  <c:v>0.93108231231634386</c:v>
                </c:pt>
                <c:pt idx="18">
                  <c:v>0.62524836789325366</c:v>
                </c:pt>
                <c:pt idx="19">
                  <c:v>0.4930516483110281</c:v>
                </c:pt>
                <c:pt idx="20">
                  <c:v>0.8633810395195991</c:v>
                </c:pt>
                <c:pt idx="21">
                  <c:v>0.83406556067078474</c:v>
                </c:pt>
                <c:pt idx="22">
                  <c:v>0.45701703432585683</c:v>
                </c:pt>
                <c:pt idx="23">
                  <c:v>0.60893762004059826</c:v>
                </c:pt>
                <c:pt idx="24">
                  <c:v>0.39416925422727789</c:v>
                </c:pt>
                <c:pt idx="25">
                  <c:v>0.93033276131900644</c:v>
                </c:pt>
                <c:pt idx="26">
                  <c:v>0.6148856404416021</c:v>
                </c:pt>
                <c:pt idx="27">
                  <c:v>0.95881868861465769</c:v>
                </c:pt>
                <c:pt idx="28">
                  <c:v>0.9943608188157409</c:v>
                </c:pt>
                <c:pt idx="29">
                  <c:v>0.60503285272377116</c:v>
                </c:pt>
                <c:pt idx="30">
                  <c:v>0.65999976114788939</c:v>
                </c:pt>
                <c:pt idx="31">
                  <c:v>0.87062189982040961</c:v>
                </c:pt>
                <c:pt idx="32">
                  <c:v>0.88976882471769825</c:v>
                </c:pt>
                <c:pt idx="33">
                  <c:v>0.75033784250774005</c:v>
                </c:pt>
                <c:pt idx="34">
                  <c:v>0.99663448424429957</c:v>
                </c:pt>
                <c:pt idx="35">
                  <c:v>0.52674911316451634</c:v>
                </c:pt>
                <c:pt idx="36">
                  <c:v>0.98289052439208913</c:v>
                </c:pt>
                <c:pt idx="37">
                  <c:v>0.61049328452377916</c:v>
                </c:pt>
                <c:pt idx="38">
                  <c:v>0.94406343178452934</c:v>
                </c:pt>
                <c:pt idx="39">
                  <c:v>0.65151631422226108</c:v>
                </c:pt>
                <c:pt idx="40">
                  <c:v>0.85347793355118329</c:v>
                </c:pt>
                <c:pt idx="41">
                  <c:v>0.93927063626811913</c:v>
                </c:pt>
                <c:pt idx="42">
                  <c:v>0.82271962985079039</c:v>
                </c:pt>
                <c:pt idx="43">
                  <c:v>0.35914106633290133</c:v>
                </c:pt>
                <c:pt idx="44">
                  <c:v>0.77029059694982749</c:v>
                </c:pt>
                <c:pt idx="45">
                  <c:v>0.81634944636616869</c:v>
                </c:pt>
                <c:pt idx="46">
                  <c:v>0.99706666592669979</c:v>
                </c:pt>
                <c:pt idx="47">
                  <c:v>0.55755839396977702</c:v>
                </c:pt>
                <c:pt idx="48">
                  <c:v>0.66893577847334562</c:v>
                </c:pt>
                <c:pt idx="49">
                  <c:v>0.80764346097302742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63-41E7-B69F-0D94EADA6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800704"/>
        <c:axId val="153802240"/>
      </c:scatterChart>
      <c:valAx>
        <c:axId val="15380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802240"/>
        <c:crosses val="autoZero"/>
        <c:crossBetween val="midCat"/>
      </c:valAx>
      <c:valAx>
        <c:axId val="153802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800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135386410032082"/>
          <c:y val="0.27060081655836832"/>
          <c:w val="0.1969177408379508"/>
          <c:h val="0.189598017275636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Функция вероятности геометричсекое распределение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Геометрическое!$A$2</c:f>
              <c:strCache>
                <c:ptCount val="1"/>
                <c:pt idx="0">
                  <c:v>р = 0.2</c:v>
                </c:pt>
              </c:strCache>
            </c:strRef>
          </c:tx>
          <c:marker>
            <c:symbol val="none"/>
          </c:marker>
          <c:val>
            <c:numRef>
              <c:f>Геометрическое!$A$3:$A$52</c:f>
              <c:numCache>
                <c:formatCode>General</c:formatCode>
                <c:ptCount val="50"/>
                <c:pt idx="0">
                  <c:v>0.2</c:v>
                </c:pt>
                <c:pt idx="1">
                  <c:v>0.16000000000000003</c:v>
                </c:pt>
                <c:pt idx="2">
                  <c:v>0.12800000000000003</c:v>
                </c:pt>
                <c:pt idx="3">
                  <c:v>0.10240000000000003</c:v>
                </c:pt>
                <c:pt idx="4">
                  <c:v>8.1920000000000021E-2</c:v>
                </c:pt>
                <c:pt idx="5">
                  <c:v>6.5536000000000025E-2</c:v>
                </c:pt>
                <c:pt idx="6">
                  <c:v>5.2428800000000025E-2</c:v>
                </c:pt>
                <c:pt idx="7">
                  <c:v>4.1943040000000015E-2</c:v>
                </c:pt>
                <c:pt idx="8">
                  <c:v>3.3554432000000016E-2</c:v>
                </c:pt>
                <c:pt idx="9">
                  <c:v>2.6843545600000015E-2</c:v>
                </c:pt>
                <c:pt idx="10">
                  <c:v>2.1474836480000013E-2</c:v>
                </c:pt>
                <c:pt idx="11">
                  <c:v>1.717986918400001E-2</c:v>
                </c:pt>
                <c:pt idx="12">
                  <c:v>1.3743895347200009E-2</c:v>
                </c:pt>
                <c:pt idx="13">
                  <c:v>1.0995116277760009E-2</c:v>
                </c:pt>
                <c:pt idx="14">
                  <c:v>8.7960930222080076E-3</c:v>
                </c:pt>
                <c:pt idx="15">
                  <c:v>7.0368744177664068E-3</c:v>
                </c:pt>
                <c:pt idx="16">
                  <c:v>5.6294995342131247E-3</c:v>
                </c:pt>
                <c:pt idx="17">
                  <c:v>4.5035996273705007E-3</c:v>
                </c:pt>
                <c:pt idx="18">
                  <c:v>3.6028797018964006E-3</c:v>
                </c:pt>
                <c:pt idx="19">
                  <c:v>2.8823037615171208E-3</c:v>
                </c:pt>
                <c:pt idx="20">
                  <c:v>2.3058430092136968E-3</c:v>
                </c:pt>
                <c:pt idx="21">
                  <c:v>1.8446744073709574E-3</c:v>
                </c:pt>
                <c:pt idx="22">
                  <c:v>1.475739525896766E-3</c:v>
                </c:pt>
                <c:pt idx="23">
                  <c:v>1.1805916207174129E-3</c:v>
                </c:pt>
                <c:pt idx="24">
                  <c:v>9.4447329657393038E-4</c:v>
                </c:pt>
                <c:pt idx="25">
                  <c:v>7.5557863725914435E-4</c:v>
                </c:pt>
                <c:pt idx="26">
                  <c:v>6.0446290980731548E-4</c:v>
                </c:pt>
                <c:pt idx="27">
                  <c:v>4.8357032784585241E-4</c:v>
                </c:pt>
                <c:pt idx="28">
                  <c:v>3.8685626227668196E-4</c:v>
                </c:pt>
                <c:pt idx="29">
                  <c:v>3.0948500982134558E-4</c:v>
                </c:pt>
                <c:pt idx="30">
                  <c:v>2.4758800785707646E-4</c:v>
                </c:pt>
                <c:pt idx="31">
                  <c:v>1.9807040628566118E-4</c:v>
                </c:pt>
                <c:pt idx="32">
                  <c:v>1.5845632502852898E-4</c:v>
                </c:pt>
                <c:pt idx="33">
                  <c:v>1.2676506002282317E-4</c:v>
                </c:pt>
                <c:pt idx="34">
                  <c:v>1.0141204801825854E-4</c:v>
                </c:pt>
                <c:pt idx="35">
                  <c:v>8.112963841460684E-5</c:v>
                </c:pt>
                <c:pt idx="36">
                  <c:v>6.4903710731685472E-5</c:v>
                </c:pt>
                <c:pt idx="37">
                  <c:v>5.192296858534839E-5</c:v>
                </c:pt>
                <c:pt idx="38">
                  <c:v>4.1538374868278706E-5</c:v>
                </c:pt>
                <c:pt idx="39">
                  <c:v>3.3230699894622969E-5</c:v>
                </c:pt>
                <c:pt idx="40">
                  <c:v>2.6584559915698375E-5</c:v>
                </c:pt>
                <c:pt idx="41">
                  <c:v>2.1267647932558706E-5</c:v>
                </c:pt>
                <c:pt idx="42">
                  <c:v>1.7014118346046962E-5</c:v>
                </c:pt>
                <c:pt idx="43">
                  <c:v>1.3611294676837573E-5</c:v>
                </c:pt>
                <c:pt idx="44">
                  <c:v>1.0889035741470058E-5</c:v>
                </c:pt>
                <c:pt idx="45">
                  <c:v>8.7112285931760469E-6</c:v>
                </c:pt>
                <c:pt idx="46">
                  <c:v>6.9689828745408382E-6</c:v>
                </c:pt>
                <c:pt idx="47">
                  <c:v>5.5751862996326709E-6</c:v>
                </c:pt>
                <c:pt idx="48">
                  <c:v>4.4601490397061371E-6</c:v>
                </c:pt>
                <c:pt idx="49">
                  <c:v>3.5681192317649099E-6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00-47C8-99BD-4C626DFA75CF}"/>
            </c:ext>
          </c:extLst>
        </c:ser>
        <c:ser>
          <c:idx val="1"/>
          <c:order val="1"/>
          <c:tx>
            <c:strRef>
              <c:f>Геометрическое!$B$2</c:f>
              <c:strCache>
                <c:ptCount val="1"/>
                <c:pt idx="0">
                  <c:v>р = 0.5</c:v>
                </c:pt>
              </c:strCache>
            </c:strRef>
          </c:tx>
          <c:marker>
            <c:symbol val="none"/>
          </c:marker>
          <c:val>
            <c:numRef>
              <c:f>Геометрическое!$B$3:$B$52</c:f>
              <c:numCache>
                <c:formatCode>General</c:formatCode>
                <c:ptCount val="50"/>
                <c:pt idx="0">
                  <c:v>0.5</c:v>
                </c:pt>
                <c:pt idx="1">
                  <c:v>0.25</c:v>
                </c:pt>
                <c:pt idx="2">
                  <c:v>0.125</c:v>
                </c:pt>
                <c:pt idx="3">
                  <c:v>6.25E-2</c:v>
                </c:pt>
                <c:pt idx="4">
                  <c:v>3.125E-2</c:v>
                </c:pt>
                <c:pt idx="5">
                  <c:v>1.5625E-2</c:v>
                </c:pt>
                <c:pt idx="6">
                  <c:v>7.8125E-3</c:v>
                </c:pt>
                <c:pt idx="7">
                  <c:v>3.90625E-3</c:v>
                </c:pt>
                <c:pt idx="8">
                  <c:v>1.953125E-3</c:v>
                </c:pt>
                <c:pt idx="9">
                  <c:v>9.765625E-4</c:v>
                </c:pt>
                <c:pt idx="10">
                  <c:v>4.8828125E-4</c:v>
                </c:pt>
                <c:pt idx="11">
                  <c:v>2.44140625E-4</c:v>
                </c:pt>
                <c:pt idx="12">
                  <c:v>1.220703125E-4</c:v>
                </c:pt>
                <c:pt idx="13">
                  <c:v>6.103515625E-5</c:v>
                </c:pt>
                <c:pt idx="14">
                  <c:v>3.0517578125E-5</c:v>
                </c:pt>
                <c:pt idx="15">
                  <c:v>1.52587890625E-5</c:v>
                </c:pt>
                <c:pt idx="16">
                  <c:v>7.62939453125E-6</c:v>
                </c:pt>
                <c:pt idx="17">
                  <c:v>3.814697265625E-6</c:v>
                </c:pt>
                <c:pt idx="18">
                  <c:v>1.9073486328125E-6</c:v>
                </c:pt>
                <c:pt idx="19">
                  <c:v>9.5367431640625E-7</c:v>
                </c:pt>
                <c:pt idx="20">
                  <c:v>4.76837158203125E-7</c:v>
                </c:pt>
                <c:pt idx="21">
                  <c:v>2.384185791015625E-7</c:v>
                </c:pt>
                <c:pt idx="22">
                  <c:v>1.1920928955078125E-7</c:v>
                </c:pt>
                <c:pt idx="23">
                  <c:v>5.9604644775390625E-8</c:v>
                </c:pt>
                <c:pt idx="24">
                  <c:v>2.9802322387695313E-8</c:v>
                </c:pt>
                <c:pt idx="25">
                  <c:v>1.4901161193847656E-8</c:v>
                </c:pt>
                <c:pt idx="26">
                  <c:v>7.4505805969238281E-9</c:v>
                </c:pt>
                <c:pt idx="27">
                  <c:v>3.7252902984619141E-9</c:v>
                </c:pt>
                <c:pt idx="28">
                  <c:v>1.862645149230957E-9</c:v>
                </c:pt>
                <c:pt idx="29">
                  <c:v>9.3132257461547852E-10</c:v>
                </c:pt>
                <c:pt idx="30">
                  <c:v>4.6566128730773926E-10</c:v>
                </c:pt>
                <c:pt idx="31">
                  <c:v>2.3283064365386963E-10</c:v>
                </c:pt>
                <c:pt idx="32">
                  <c:v>1.1641532182693481E-10</c:v>
                </c:pt>
                <c:pt idx="33">
                  <c:v>5.8207660913467407E-11</c:v>
                </c:pt>
                <c:pt idx="34">
                  <c:v>2.9103830456733704E-11</c:v>
                </c:pt>
                <c:pt idx="35">
                  <c:v>1.4551915228366852E-11</c:v>
                </c:pt>
                <c:pt idx="36">
                  <c:v>7.2759576141834259E-12</c:v>
                </c:pt>
                <c:pt idx="37">
                  <c:v>3.637978807091713E-12</c:v>
                </c:pt>
                <c:pt idx="38">
                  <c:v>1.8189894035458565E-12</c:v>
                </c:pt>
                <c:pt idx="39">
                  <c:v>9.0949470177292824E-13</c:v>
                </c:pt>
                <c:pt idx="40">
                  <c:v>4.5474735088646412E-13</c:v>
                </c:pt>
                <c:pt idx="41">
                  <c:v>2.2737367544323206E-13</c:v>
                </c:pt>
                <c:pt idx="42">
                  <c:v>1.1368683772161603E-13</c:v>
                </c:pt>
                <c:pt idx="43">
                  <c:v>5.6843418860808015E-14</c:v>
                </c:pt>
                <c:pt idx="44">
                  <c:v>2.8421709430404007E-14</c:v>
                </c:pt>
                <c:pt idx="45">
                  <c:v>1.4210854715202004E-14</c:v>
                </c:pt>
                <c:pt idx="46">
                  <c:v>7.1054273576010019E-15</c:v>
                </c:pt>
                <c:pt idx="47">
                  <c:v>3.5527136788005009E-15</c:v>
                </c:pt>
                <c:pt idx="48">
                  <c:v>1.7763568394002505E-15</c:v>
                </c:pt>
                <c:pt idx="49">
                  <c:v>8.8817841970012523E-16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500-47C8-99BD-4C626DFA75CF}"/>
            </c:ext>
          </c:extLst>
        </c:ser>
        <c:ser>
          <c:idx val="2"/>
          <c:order val="2"/>
          <c:tx>
            <c:strRef>
              <c:f>Геометрическое!$C$2</c:f>
              <c:strCache>
                <c:ptCount val="1"/>
                <c:pt idx="0">
                  <c:v>р = 0.8</c:v>
                </c:pt>
              </c:strCache>
            </c:strRef>
          </c:tx>
          <c:marker>
            <c:symbol val="none"/>
          </c:marker>
          <c:val>
            <c:numRef>
              <c:f>Геометрическое!$C$3:$C$52</c:f>
              <c:numCache>
                <c:formatCode>General</c:formatCode>
                <c:ptCount val="50"/>
                <c:pt idx="0">
                  <c:v>0.8</c:v>
                </c:pt>
                <c:pt idx="1">
                  <c:v>0.15999999999999998</c:v>
                </c:pt>
                <c:pt idx="2">
                  <c:v>3.1999999999999987E-2</c:v>
                </c:pt>
                <c:pt idx="3">
                  <c:v>6.399999999999996E-3</c:v>
                </c:pt>
                <c:pt idx="4">
                  <c:v>1.279999999999999E-3</c:v>
                </c:pt>
                <c:pt idx="5">
                  <c:v>2.5599999999999972E-4</c:v>
                </c:pt>
                <c:pt idx="6">
                  <c:v>5.1199999999999937E-5</c:v>
                </c:pt>
                <c:pt idx="7">
                  <c:v>1.0239999999999985E-5</c:v>
                </c:pt>
                <c:pt idx="8">
                  <c:v>2.0479999999999963E-6</c:v>
                </c:pt>
                <c:pt idx="9">
                  <c:v>4.0959999999999922E-7</c:v>
                </c:pt>
                <c:pt idx="10">
                  <c:v>8.1919999999999823E-8</c:v>
                </c:pt>
                <c:pt idx="11">
                  <c:v>1.638399999999996E-8</c:v>
                </c:pt>
                <c:pt idx="12">
                  <c:v>3.2767999999999914E-9</c:v>
                </c:pt>
                <c:pt idx="13">
                  <c:v>6.5535999999999814E-10</c:v>
                </c:pt>
                <c:pt idx="14">
                  <c:v>1.310719999999996E-10</c:v>
                </c:pt>
                <c:pt idx="15">
                  <c:v>2.6214399999999915E-11</c:v>
                </c:pt>
                <c:pt idx="16">
                  <c:v>5.2428799999999818E-12</c:v>
                </c:pt>
                <c:pt idx="17">
                  <c:v>1.048575999999996E-12</c:v>
                </c:pt>
                <c:pt idx="18">
                  <c:v>2.0971519999999919E-13</c:v>
                </c:pt>
                <c:pt idx="19">
                  <c:v>4.1943039999999827E-14</c:v>
                </c:pt>
                <c:pt idx="20">
                  <c:v>8.3886079999999629E-15</c:v>
                </c:pt>
                <c:pt idx="21">
                  <c:v>1.6777215999999924E-15</c:v>
                </c:pt>
                <c:pt idx="22">
                  <c:v>3.3554431999999836E-16</c:v>
                </c:pt>
                <c:pt idx="23">
                  <c:v>6.7108863999999662E-17</c:v>
                </c:pt>
                <c:pt idx="24">
                  <c:v>1.3421772799999928E-17</c:v>
                </c:pt>
                <c:pt idx="25">
                  <c:v>2.6843545599999851E-18</c:v>
                </c:pt>
                <c:pt idx="26">
                  <c:v>5.3687091199999694E-19</c:v>
                </c:pt>
                <c:pt idx="27">
                  <c:v>1.0737418239999936E-19</c:v>
                </c:pt>
                <c:pt idx="28">
                  <c:v>2.1474836479999869E-20</c:v>
                </c:pt>
                <c:pt idx="29">
                  <c:v>4.2949672959999725E-21</c:v>
                </c:pt>
                <c:pt idx="30">
                  <c:v>8.5899345919999424E-22</c:v>
                </c:pt>
                <c:pt idx="31">
                  <c:v>1.7179869183999881E-22</c:v>
                </c:pt>
                <c:pt idx="32">
                  <c:v>3.4359738367999761E-23</c:v>
                </c:pt>
                <c:pt idx="33">
                  <c:v>6.8719476735999495E-24</c:v>
                </c:pt>
                <c:pt idx="34">
                  <c:v>1.3743895347199897E-24</c:v>
                </c:pt>
                <c:pt idx="35">
                  <c:v>2.7487790694399787E-25</c:v>
                </c:pt>
                <c:pt idx="36">
                  <c:v>5.4975581388799556E-26</c:v>
                </c:pt>
                <c:pt idx="37">
                  <c:v>1.0995116277759909E-26</c:v>
                </c:pt>
                <c:pt idx="38">
                  <c:v>2.1990232555519815E-27</c:v>
                </c:pt>
                <c:pt idx="39">
                  <c:v>4.398046511103962E-28</c:v>
                </c:pt>
                <c:pt idx="40">
                  <c:v>8.7960930222079227E-29</c:v>
                </c:pt>
                <c:pt idx="41">
                  <c:v>1.7592186044415841E-29</c:v>
                </c:pt>
                <c:pt idx="42">
                  <c:v>3.5184372088831673E-30</c:v>
                </c:pt>
                <c:pt idx="43">
                  <c:v>7.036874417766334E-31</c:v>
                </c:pt>
                <c:pt idx="44">
                  <c:v>1.4073748835532664E-31</c:v>
                </c:pt>
                <c:pt idx="45">
                  <c:v>2.8147497671065321E-32</c:v>
                </c:pt>
                <c:pt idx="46">
                  <c:v>5.6294995342130624E-33</c:v>
                </c:pt>
                <c:pt idx="47">
                  <c:v>1.1258999068426123E-33</c:v>
                </c:pt>
                <c:pt idx="48">
                  <c:v>2.2517998136852239E-34</c:v>
                </c:pt>
                <c:pt idx="49">
                  <c:v>4.5035996273704474E-35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500-47C8-99BD-4C626DFA7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987712"/>
        <c:axId val="153993600"/>
      </c:lineChart>
      <c:catAx>
        <c:axId val="153987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53993600"/>
        <c:crosses val="autoZero"/>
        <c:auto val="1"/>
        <c:lblAlgn val="ctr"/>
        <c:lblOffset val="100"/>
        <c:noMultiLvlLbl val="0"/>
      </c:catAx>
      <c:valAx>
        <c:axId val="153993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987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</xdr:row>
      <xdr:rowOff>61912</xdr:rowOff>
    </xdr:from>
    <xdr:to>
      <xdr:col>17</xdr:col>
      <xdr:colOff>333374</xdr:colOff>
      <xdr:row>20</xdr:row>
      <xdr:rowOff>76200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22</xdr:row>
          <xdr:rowOff>19050</xdr:rowOff>
        </xdr:from>
        <xdr:to>
          <xdr:col>20</xdr:col>
          <xdr:colOff>0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Запустить генератор случайных чисел по заданному распределению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19050</xdr:rowOff>
    </xdr:from>
    <xdr:to>
      <xdr:col>17</xdr:col>
      <xdr:colOff>447675</xdr:colOff>
      <xdr:row>20</xdr:row>
      <xdr:rowOff>33338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22</xdr:row>
          <xdr:rowOff>19050</xdr:rowOff>
        </xdr:from>
        <xdr:to>
          <xdr:col>12</xdr:col>
          <xdr:colOff>38100</xdr:colOff>
          <xdr:row>25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Запустить генератор случайных чисел по заданному распределению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38100</xdr:rowOff>
    </xdr:from>
    <xdr:to>
      <xdr:col>17</xdr:col>
      <xdr:colOff>438150</xdr:colOff>
      <xdr:row>20</xdr:row>
      <xdr:rowOff>52388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22</xdr:row>
          <xdr:rowOff>9525</xdr:rowOff>
        </xdr:from>
        <xdr:to>
          <xdr:col>12</xdr:col>
          <xdr:colOff>19050</xdr:colOff>
          <xdr:row>24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Запустить генератор случайных чисел по заданному распределению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1</xdr:row>
      <xdr:rowOff>90486</xdr:rowOff>
    </xdr:from>
    <xdr:to>
      <xdr:col>13</xdr:col>
      <xdr:colOff>114300</xdr:colOff>
      <xdr:row>18</xdr:row>
      <xdr:rowOff>152399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20</xdr:row>
          <xdr:rowOff>0</xdr:rowOff>
        </xdr:from>
        <xdr:to>
          <xdr:col>9</xdr:col>
          <xdr:colOff>28575</xdr:colOff>
          <xdr:row>22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Запустить генератор случайных чисел по заданному распределению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O61"/>
  <sheetViews>
    <sheetView tabSelected="1" workbookViewId="0">
      <selection activeCell="S27" sqref="S27"/>
    </sheetView>
  </sheetViews>
  <sheetFormatPr defaultRowHeight="15" x14ac:dyDescent="0.25"/>
  <cols>
    <col min="1" max="1" width="11.85546875" customWidth="1"/>
    <col min="3" max="3" width="11.7109375" customWidth="1"/>
    <col min="5" max="5" width="12.140625" customWidth="1"/>
    <col min="13" max="13" width="10.28515625" bestFit="1" customWidth="1"/>
  </cols>
  <sheetData>
    <row r="1" spans="1:41" x14ac:dyDescent="0.25">
      <c r="A1" s="9" t="s">
        <v>0</v>
      </c>
      <c r="B1" s="9"/>
      <c r="C1" s="9"/>
      <c r="D1" s="9"/>
      <c r="E1" s="9"/>
      <c r="F1" s="9"/>
      <c r="G1" s="3"/>
      <c r="H1" s="3"/>
      <c r="I1" s="3"/>
      <c r="J1" s="3"/>
      <c r="K1" s="3"/>
      <c r="L1" s="3"/>
      <c r="M1" s="8"/>
      <c r="N1" s="8"/>
      <c r="O1" s="8"/>
      <c r="P1" s="3"/>
      <c r="Q1" s="3"/>
      <c r="R1" s="3"/>
      <c r="S1" s="3"/>
      <c r="T1" s="3"/>
      <c r="U1" s="3"/>
      <c r="V1" s="3"/>
      <c r="W1" s="3"/>
      <c r="X1" s="3"/>
      <c r="Y1" s="8"/>
      <c r="Z1" s="8"/>
      <c r="AA1" s="8"/>
      <c r="AB1" s="3"/>
      <c r="AC1" s="3"/>
      <c r="AD1" s="3"/>
      <c r="AE1" s="3"/>
      <c r="AF1" s="3"/>
      <c r="AG1" s="3"/>
      <c r="AH1" s="3"/>
      <c r="AI1" s="3"/>
      <c r="AJ1" s="3"/>
      <c r="AK1" s="8"/>
      <c r="AL1" s="8"/>
      <c r="AM1" s="8"/>
      <c r="AN1" s="3"/>
      <c r="AO1" s="3"/>
    </row>
    <row r="2" spans="1:41" x14ac:dyDescent="0.25">
      <c r="A2" s="1" t="s">
        <v>2</v>
      </c>
      <c r="B2" s="1" t="s">
        <v>1</v>
      </c>
      <c r="C2" s="1" t="s">
        <v>3</v>
      </c>
      <c r="D2" s="1" t="s">
        <v>1</v>
      </c>
      <c r="E2" s="1" t="s">
        <v>4</v>
      </c>
      <c r="F2" s="1" t="s">
        <v>1</v>
      </c>
      <c r="G2" s="3"/>
      <c r="H2" s="3"/>
      <c r="I2" s="3"/>
      <c r="J2" s="3"/>
      <c r="K2" s="3"/>
      <c r="L2" s="3"/>
      <c r="M2" s="4"/>
      <c r="N2" s="4"/>
      <c r="O2" s="4"/>
      <c r="P2" s="3"/>
      <c r="Q2" s="3"/>
      <c r="R2" s="3"/>
      <c r="S2" s="3"/>
      <c r="T2" s="3"/>
      <c r="U2" s="3"/>
      <c r="V2" s="3"/>
      <c r="W2" s="3"/>
      <c r="X2" s="3"/>
      <c r="Y2" s="4"/>
      <c r="Z2" s="4"/>
      <c r="AA2" s="4"/>
      <c r="AB2" s="3"/>
      <c r="AC2" s="3"/>
      <c r="AD2" s="3"/>
      <c r="AE2" s="3"/>
      <c r="AF2" s="3"/>
      <c r="AG2" s="3"/>
      <c r="AH2" s="3"/>
      <c r="AI2" s="3"/>
      <c r="AJ2" s="3"/>
      <c r="AK2" s="4"/>
      <c r="AL2" s="4"/>
      <c r="AM2" s="4"/>
      <c r="AN2" s="3"/>
      <c r="AO2" s="3"/>
    </row>
    <row r="3" spans="1:41" x14ac:dyDescent="0.25">
      <c r="A3" s="2">
        <v>0.69756233082047803</v>
      </c>
      <c r="B3" s="2">
        <f>IF(A3&lt;0,0,0.5*EXP(-0.5*A3))</f>
        <v>0.3527737557888031</v>
      </c>
      <c r="C3" s="2">
        <v>1.2181635161718072</v>
      </c>
      <c r="D3" s="2">
        <f>IF(C3&lt;0,0,1*EXP(-1*C3))</f>
        <v>0.29577285051345825</v>
      </c>
      <c r="E3" s="2"/>
      <c r="F3" s="2">
        <f>IF(E3&lt;0,0,5*EXP(-5*E3))</f>
        <v>5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25">
      <c r="A4" s="2">
        <v>1.2568772734533378</v>
      </c>
      <c r="B4" s="2">
        <f t="shared" ref="B4:B52" si="0">IF(A4&lt;0,0,0.5*EXP(-0.5*A4))</f>
        <v>0.2667120099067688</v>
      </c>
      <c r="C4" s="2">
        <v>0.96230666469840132</v>
      </c>
      <c r="D4" s="2">
        <f t="shared" ref="D4:D52" si="1">IF(C4&lt;0,0,1*EXP(-1*C4))</f>
        <v>0.38201069831848145</v>
      </c>
      <c r="E4" s="2"/>
      <c r="F4" s="2">
        <f t="shared" ref="F4:F52" si="2">IF(E4&lt;0,0,5*EXP(-5*E4))</f>
        <v>5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x14ac:dyDescent="0.25">
      <c r="A5" s="2">
        <v>1.091114984258049</v>
      </c>
      <c r="B5" s="2">
        <f t="shared" si="0"/>
        <v>0.2897593080997467</v>
      </c>
      <c r="C5" s="2">
        <v>1.2007430431337447</v>
      </c>
      <c r="D5" s="2">
        <f t="shared" si="1"/>
        <v>0.30097049474716187</v>
      </c>
      <c r="E5" s="2"/>
      <c r="F5" s="2">
        <f t="shared" si="2"/>
        <v>5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x14ac:dyDescent="0.25">
      <c r="A6" s="2">
        <v>2.4787684819166138</v>
      </c>
      <c r="B6" s="2">
        <f t="shared" si="0"/>
        <v>0.14478123188018799</v>
      </c>
      <c r="C6" s="2">
        <v>5.2798546785545963E-2</v>
      </c>
      <c r="D6" s="2">
        <f t="shared" si="1"/>
        <v>0.94857108592987061</v>
      </c>
      <c r="E6" s="2"/>
      <c r="F6" s="2">
        <f t="shared" si="2"/>
        <v>5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25">
      <c r="A7" s="2">
        <v>2.395000851386563</v>
      </c>
      <c r="B7" s="2">
        <f t="shared" si="0"/>
        <v>0.15097400546073914</v>
      </c>
      <c r="C7" s="2">
        <v>2.0376833726138181E-2</v>
      </c>
      <c r="D7" s="2">
        <f t="shared" si="1"/>
        <v>0.97982937097549438</v>
      </c>
      <c r="E7" s="2"/>
      <c r="F7" s="2">
        <f t="shared" si="2"/>
        <v>5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25">
      <c r="A8" s="2">
        <v>0.51045532166330043</v>
      </c>
      <c r="B8" s="2">
        <f t="shared" si="0"/>
        <v>0.38737004995346069</v>
      </c>
      <c r="C8" s="2">
        <v>0.91286077077842476</v>
      </c>
      <c r="D8" s="2">
        <f t="shared" si="1"/>
        <v>0.40137434005737305</v>
      </c>
      <c r="E8" s="2"/>
      <c r="F8" s="2">
        <f t="shared" si="2"/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25">
      <c r="A9" s="2">
        <v>8.5348772646587836</v>
      </c>
      <c r="B9" s="2">
        <f t="shared" si="0"/>
        <v>7.0088207721710222E-3</v>
      </c>
      <c r="C9" s="2">
        <v>1.2791276211080813</v>
      </c>
      <c r="D9" s="2">
        <f t="shared" si="1"/>
        <v>0.27827996015548706</v>
      </c>
      <c r="E9" s="2"/>
      <c r="F9" s="2">
        <f t="shared" si="2"/>
        <v>5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25">
      <c r="A10" s="2">
        <v>0.54697041086051701</v>
      </c>
      <c r="B10" s="2">
        <f t="shared" si="0"/>
        <v>0.38036179542541504</v>
      </c>
      <c r="C10" s="2">
        <v>1.8298257777043474</v>
      </c>
      <c r="D10" s="2">
        <f t="shared" si="1"/>
        <v>0.16044151782989502</v>
      </c>
      <c r="E10" s="2"/>
      <c r="F10" s="2">
        <f t="shared" si="2"/>
        <v>5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25">
      <c r="A11" s="2">
        <v>0.41038620718645435</v>
      </c>
      <c r="B11" s="2">
        <f t="shared" si="0"/>
        <v>0.40724501013755798</v>
      </c>
      <c r="C11" s="2">
        <v>1.8151002119687896</v>
      </c>
      <c r="D11" s="2">
        <f t="shared" si="1"/>
        <v>0.16282159090042114</v>
      </c>
      <c r="E11" s="2"/>
      <c r="F11" s="2">
        <f t="shared" si="2"/>
        <v>5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25">
      <c r="A12" s="2">
        <v>0.68769259669673877</v>
      </c>
      <c r="B12" s="2">
        <f t="shared" si="0"/>
        <v>0.35451894998550415</v>
      </c>
      <c r="C12" s="2">
        <v>0.43604731273259845</v>
      </c>
      <c r="D12" s="2">
        <f t="shared" si="1"/>
        <v>0.64658713340759277</v>
      </c>
      <c r="E12" s="2"/>
      <c r="F12" s="2">
        <f t="shared" si="2"/>
        <v>5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25">
      <c r="A13" s="2">
        <v>6.1865686218968099</v>
      </c>
      <c r="B13" s="2">
        <f t="shared" si="0"/>
        <v>2.2676378488540649E-2</v>
      </c>
      <c r="C13" s="2">
        <v>0.89141954808264789</v>
      </c>
      <c r="D13" s="2">
        <f t="shared" si="1"/>
        <v>0.41007322072982788</v>
      </c>
      <c r="E13" s="2"/>
      <c r="F13" s="2">
        <f t="shared" si="2"/>
        <v>5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x14ac:dyDescent="0.25">
      <c r="A14" s="2">
        <v>1.7636206567559125</v>
      </c>
      <c r="B14" s="2">
        <f t="shared" si="0"/>
        <v>0.20701634883880615</v>
      </c>
      <c r="C14" s="2">
        <v>0.88487245992653818</v>
      </c>
      <c r="D14" s="2">
        <f t="shared" si="1"/>
        <v>0.41276681423187256</v>
      </c>
      <c r="E14" s="2"/>
      <c r="F14" s="2">
        <f t="shared" si="2"/>
        <v>5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25">
      <c r="A15" s="2">
        <v>0.29556354788838601</v>
      </c>
      <c r="B15" s="2">
        <f t="shared" si="0"/>
        <v>0.43130967020988464</v>
      </c>
      <c r="C15" s="2">
        <v>0.33865195623763311</v>
      </c>
      <c r="D15" s="2">
        <f t="shared" si="1"/>
        <v>0.71273046731948853</v>
      </c>
      <c r="E15" s="2"/>
      <c r="F15" s="2">
        <f t="shared" si="2"/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25">
      <c r="A16" s="2">
        <v>0.47022980150396498</v>
      </c>
      <c r="B16" s="2">
        <f t="shared" si="0"/>
        <v>0.39524000883102417</v>
      </c>
      <c r="C16" s="2">
        <v>1.1202255599284789</v>
      </c>
      <c r="D16" s="2">
        <f t="shared" si="1"/>
        <v>0.32620620727539063</v>
      </c>
      <c r="E16" s="2"/>
      <c r="F16" s="2">
        <f t="shared" si="2"/>
        <v>5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25">
      <c r="A17" s="2">
        <v>1.9694808793258616</v>
      </c>
      <c r="B17" s="2">
        <f t="shared" si="0"/>
        <v>0.18676808476448059</v>
      </c>
      <c r="C17" s="2">
        <v>0.45700229052119073</v>
      </c>
      <c r="D17" s="2">
        <f t="shared" si="1"/>
        <v>0.63317888975143433</v>
      </c>
      <c r="E17" s="5"/>
      <c r="F17" s="2">
        <f t="shared" si="2"/>
        <v>5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x14ac:dyDescent="0.25">
      <c r="A18" s="2">
        <v>7.7579032918175653E-2</v>
      </c>
      <c r="B18" s="2">
        <f t="shared" si="0"/>
        <v>0.48097658157348633</v>
      </c>
      <c r="C18" s="2">
        <v>1.5723293547921551</v>
      </c>
      <c r="D18" s="2">
        <f t="shared" si="1"/>
        <v>0.20756113529205322</v>
      </c>
      <c r="E18" s="6"/>
      <c r="F18" s="2">
        <f t="shared" si="2"/>
        <v>5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25">
      <c r="A19" s="2">
        <v>0.27520313566689075</v>
      </c>
      <c r="B19" s="2">
        <f t="shared" si="0"/>
        <v>0.43572291731834412</v>
      </c>
      <c r="C19" s="2">
        <v>1.6819359210075624</v>
      </c>
      <c r="D19" s="2">
        <f t="shared" si="1"/>
        <v>0.18601351976394653</v>
      </c>
      <c r="E19" s="6"/>
      <c r="F19" s="2">
        <f t="shared" si="2"/>
        <v>5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x14ac:dyDescent="0.25">
      <c r="A20" s="2">
        <v>5.7563656188340353</v>
      </c>
      <c r="B20" s="2">
        <f t="shared" si="0"/>
        <v>2.8118431568145755E-2</v>
      </c>
      <c r="C20" s="2">
        <v>0.53895249644314724</v>
      </c>
      <c r="D20" s="2">
        <f t="shared" si="1"/>
        <v>0.5833590030670166</v>
      </c>
      <c r="E20" s="6"/>
      <c r="F20" s="2">
        <f t="shared" si="2"/>
        <v>5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25">
      <c r="A21" s="2">
        <v>0.10352017773042883</v>
      </c>
      <c r="B21" s="2">
        <f t="shared" si="0"/>
        <v>0.47477832436561584</v>
      </c>
      <c r="C21" s="2">
        <v>2.5168352703328511</v>
      </c>
      <c r="D21" s="2">
        <f t="shared" si="1"/>
        <v>8.071464300155641E-2</v>
      </c>
      <c r="E21" s="6"/>
      <c r="F21" s="2">
        <f t="shared" si="2"/>
        <v>5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.75" thickBot="1" x14ac:dyDescent="0.3">
      <c r="A22" s="2">
        <v>2.0211001952955754</v>
      </c>
      <c r="B22" s="2">
        <f t="shared" si="0"/>
        <v>0.18200933933258057</v>
      </c>
      <c r="C22" s="2">
        <v>0.7809484250491121</v>
      </c>
      <c r="D22" s="2">
        <f t="shared" si="1"/>
        <v>0.45797145366668701</v>
      </c>
      <c r="E22" s="6"/>
      <c r="F22" s="2">
        <f t="shared" si="2"/>
        <v>5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t="15" customHeight="1" x14ac:dyDescent="0.25">
      <c r="A23" s="2">
        <v>1.2892153195707552</v>
      </c>
      <c r="B23" s="2">
        <f t="shared" si="0"/>
        <v>0.2624342143535614</v>
      </c>
      <c r="C23" s="2">
        <v>9.9014218000252674E-2</v>
      </c>
      <c r="D23" s="2">
        <f t="shared" si="1"/>
        <v>0.90572983026504517</v>
      </c>
      <c r="E23" s="6"/>
      <c r="F23" s="2">
        <f t="shared" si="2"/>
        <v>5</v>
      </c>
      <c r="G23" s="3"/>
      <c r="H23" s="3"/>
      <c r="I23" s="10" t="s">
        <v>17</v>
      </c>
      <c r="J23" s="11"/>
      <c r="K23" s="11"/>
      <c r="L23" s="11"/>
      <c r="M23" s="11"/>
      <c r="N23" s="12"/>
      <c r="O23" s="7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25">
      <c r="A24" s="2">
        <v>0.53024581853309105</v>
      </c>
      <c r="B24" s="2">
        <f t="shared" si="0"/>
        <v>0.3835558295249939</v>
      </c>
      <c r="C24" s="2">
        <v>1.3418248520714211</v>
      </c>
      <c r="D24" s="2">
        <f t="shared" si="1"/>
        <v>0.2613682746887207</v>
      </c>
      <c r="E24" s="2"/>
      <c r="F24" s="2">
        <f t="shared" si="2"/>
        <v>5</v>
      </c>
      <c r="G24" s="3"/>
      <c r="H24" s="3"/>
      <c r="I24" s="13"/>
      <c r="J24" s="14"/>
      <c r="K24" s="14"/>
      <c r="L24" s="14"/>
      <c r="M24" s="14"/>
      <c r="N24" s="15"/>
      <c r="O24" s="7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25">
      <c r="A25" s="2">
        <v>5.8559780380610622</v>
      </c>
      <c r="B25" s="2">
        <f t="shared" si="0"/>
        <v>2.6752263307571411E-2</v>
      </c>
      <c r="C25" s="2">
        <v>0.24180125536437647</v>
      </c>
      <c r="D25" s="2">
        <f t="shared" si="1"/>
        <v>0.78521221876144409</v>
      </c>
      <c r="E25" s="2"/>
      <c r="F25" s="2">
        <f t="shared" si="2"/>
        <v>5</v>
      </c>
      <c r="G25" s="3"/>
      <c r="H25" s="3"/>
      <c r="I25" s="13"/>
      <c r="J25" s="14"/>
      <c r="K25" s="14"/>
      <c r="L25" s="14"/>
      <c r="M25" s="14"/>
      <c r="N25" s="15"/>
      <c r="O25" s="7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25">
      <c r="A26" s="2">
        <v>1.0469497514654025</v>
      </c>
      <c r="B26" s="2">
        <f t="shared" si="0"/>
        <v>0.29622912406921387</v>
      </c>
      <c r="C26" s="2">
        <v>0.97047621906417258</v>
      </c>
      <c r="D26" s="2">
        <f t="shared" si="1"/>
        <v>0.37890255451202393</v>
      </c>
      <c r="E26" s="2"/>
      <c r="F26" s="2">
        <f t="shared" si="2"/>
        <v>5</v>
      </c>
      <c r="G26" s="3"/>
      <c r="H26" s="3"/>
      <c r="I26" s="13"/>
      <c r="J26" s="14"/>
      <c r="K26" s="14"/>
      <c r="L26" s="14"/>
      <c r="M26" s="14"/>
      <c r="N26" s="15"/>
      <c r="O26" s="7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15.75" thickBot="1" x14ac:dyDescent="0.3">
      <c r="A27" s="2">
        <v>1.515584274830615</v>
      </c>
      <c r="B27" s="2">
        <f t="shared" si="0"/>
        <v>0.2343500554561615</v>
      </c>
      <c r="C27" s="2">
        <v>1.2390300464717852</v>
      </c>
      <c r="D27" s="2">
        <f t="shared" si="1"/>
        <v>0.28966504335403442</v>
      </c>
      <c r="E27" s="2"/>
      <c r="F27" s="2">
        <f t="shared" si="2"/>
        <v>5</v>
      </c>
      <c r="G27" s="3"/>
      <c r="H27" s="3"/>
      <c r="I27" s="16"/>
      <c r="J27" s="17"/>
      <c r="K27" s="17"/>
      <c r="L27" s="17"/>
      <c r="M27" s="17"/>
      <c r="N27" s="18"/>
      <c r="O27" s="7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25">
      <c r="A28" s="2">
        <v>2.4202135537280465</v>
      </c>
      <c r="B28" s="2">
        <f t="shared" si="0"/>
        <v>0.1490827202796936</v>
      </c>
      <c r="C28" s="2">
        <v>8.4058915926224997E-2</v>
      </c>
      <c r="D28" s="2">
        <f t="shared" si="1"/>
        <v>0.91937708854675293</v>
      </c>
      <c r="E28" s="2"/>
      <c r="F28" s="2">
        <f t="shared" si="2"/>
        <v>5</v>
      </c>
      <c r="G28" s="3"/>
      <c r="H28" s="3"/>
      <c r="I28" s="7"/>
      <c r="J28" s="7"/>
      <c r="K28" s="7"/>
      <c r="L28" s="7"/>
      <c r="M28" s="7"/>
      <c r="N28" s="7"/>
      <c r="O28" s="7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x14ac:dyDescent="0.25">
      <c r="A29" s="2">
        <v>0.94739144058874225</v>
      </c>
      <c r="B29" s="2">
        <f t="shared" si="0"/>
        <v>0.31134834885597229</v>
      </c>
      <c r="C29" s="2">
        <v>0.45927353466579734</v>
      </c>
      <c r="D29" s="2">
        <f t="shared" si="1"/>
        <v>0.63174241781234741</v>
      </c>
      <c r="E29" s="2"/>
      <c r="F29" s="2">
        <f t="shared" si="2"/>
        <v>5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25">
      <c r="A30" s="2">
        <v>0.86828113039124788</v>
      </c>
      <c r="B30" s="2">
        <f t="shared" si="0"/>
        <v>0.32391059398651123</v>
      </c>
      <c r="C30" s="2">
        <v>0.46578528222037963</v>
      </c>
      <c r="D30" s="2">
        <f t="shared" si="1"/>
        <v>0.62764203548431396</v>
      </c>
      <c r="E30" s="2"/>
      <c r="F30" s="2">
        <f t="shared" si="2"/>
        <v>5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25">
      <c r="A31" s="2">
        <v>2.6651816639114814</v>
      </c>
      <c r="B31" s="2">
        <f t="shared" si="0"/>
        <v>0.13189646601676941</v>
      </c>
      <c r="C31" s="2">
        <v>0.84756637562247628</v>
      </c>
      <c r="D31" s="2">
        <f t="shared" si="1"/>
        <v>0.42845636606216431</v>
      </c>
      <c r="E31" s="2"/>
      <c r="F31" s="2">
        <f t="shared" si="2"/>
        <v>5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4"/>
      <c r="R31" s="4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25">
      <c r="A32" s="2">
        <v>2.5506364867140818</v>
      </c>
      <c r="B32" s="2">
        <f t="shared" si="0"/>
        <v>0.13967102766036987</v>
      </c>
      <c r="C32" s="2">
        <v>2.3230549426504608</v>
      </c>
      <c r="D32" s="2">
        <f t="shared" si="1"/>
        <v>9.7973823547363295E-2</v>
      </c>
      <c r="E32" s="2"/>
      <c r="F32" s="2">
        <f t="shared" si="2"/>
        <v>5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25">
      <c r="A33" s="2">
        <v>0.37313723989798159</v>
      </c>
      <c r="B33" s="2">
        <f t="shared" si="0"/>
        <v>0.41490080952644348</v>
      </c>
      <c r="C33" s="2">
        <v>0.57796289038960991</v>
      </c>
      <c r="D33" s="2">
        <f t="shared" si="1"/>
        <v>0.56104010343551636</v>
      </c>
      <c r="E33" s="2"/>
      <c r="F33" s="2">
        <f t="shared" si="2"/>
        <v>5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25">
      <c r="A34" s="2">
        <v>0.38570855837804446</v>
      </c>
      <c r="B34" s="2">
        <f t="shared" si="0"/>
        <v>0.41230106353759766</v>
      </c>
      <c r="C34" s="2">
        <v>0.36458427361369222</v>
      </c>
      <c r="D34" s="2">
        <f t="shared" si="1"/>
        <v>0.69448530673980713</v>
      </c>
      <c r="E34" s="2"/>
      <c r="F34" s="2">
        <f t="shared" si="2"/>
        <v>5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25">
      <c r="A35" s="2">
        <v>1.0581047685885356</v>
      </c>
      <c r="B35" s="2">
        <f t="shared" si="0"/>
        <v>0.29458150267601013</v>
      </c>
      <c r="C35" s="2">
        <v>9.0233761931709303E-2</v>
      </c>
      <c r="D35" s="2">
        <f t="shared" si="1"/>
        <v>0.91371756792068481</v>
      </c>
      <c r="E35" s="2"/>
      <c r="F35" s="2">
        <f t="shared" si="2"/>
        <v>5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25">
      <c r="A36" s="2">
        <v>2.8008885089153456E-2</v>
      </c>
      <c r="B36" s="2">
        <f t="shared" si="0"/>
        <v>0.49304658174514771</v>
      </c>
      <c r="C36" s="2">
        <v>0.18054253487611216</v>
      </c>
      <c r="D36" s="2">
        <f t="shared" si="1"/>
        <v>0.83481717109680176</v>
      </c>
      <c r="E36" s="2"/>
      <c r="F36" s="2">
        <f t="shared" si="2"/>
        <v>5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25">
      <c r="A37" s="2">
        <v>0.18650311806543404</v>
      </c>
      <c r="B37" s="2">
        <f t="shared" si="0"/>
        <v>0.45548215508460999</v>
      </c>
      <c r="C37" s="2">
        <v>3.7885141088590086</v>
      </c>
      <c r="D37" s="2">
        <f t="shared" si="1"/>
        <v>2.2629201412200928E-2</v>
      </c>
      <c r="E37" s="2"/>
      <c r="F37" s="2">
        <f t="shared" si="2"/>
        <v>5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25">
      <c r="A38" s="2">
        <v>2.9667914279441079</v>
      </c>
      <c r="B38" s="2">
        <f t="shared" si="0"/>
        <v>0.11343300342559813</v>
      </c>
      <c r="C38" s="2">
        <v>0.60998210774320205</v>
      </c>
      <c r="D38" s="2">
        <f t="shared" si="1"/>
        <v>0.54336059093475342</v>
      </c>
      <c r="E38" s="2"/>
      <c r="F38" s="2">
        <f t="shared" si="2"/>
        <v>5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25">
      <c r="A39" s="2">
        <v>0.7273545012183632</v>
      </c>
      <c r="B39" s="2">
        <f t="shared" si="0"/>
        <v>0.34755775332450867</v>
      </c>
      <c r="C39" s="2">
        <v>8.7559911813701874E-2</v>
      </c>
      <c r="D39" s="2">
        <f t="shared" si="1"/>
        <v>0.91616398096084595</v>
      </c>
      <c r="E39" s="2"/>
      <c r="F39" s="2">
        <f t="shared" si="2"/>
        <v>5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25">
      <c r="A40" s="2">
        <v>4.0398807045333156E-2</v>
      </c>
      <c r="B40" s="2">
        <f t="shared" si="0"/>
        <v>0.4900016188621521</v>
      </c>
      <c r="C40" s="2">
        <v>0.84336296368774655</v>
      </c>
      <c r="D40" s="2">
        <f t="shared" si="1"/>
        <v>0.43026113510131836</v>
      </c>
      <c r="E40" s="2"/>
      <c r="F40" s="2">
        <f t="shared" si="2"/>
        <v>5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25">
      <c r="A41" s="2">
        <v>2.8217368661169782</v>
      </c>
      <c r="B41" s="2">
        <f t="shared" si="0"/>
        <v>0.1219656765460968</v>
      </c>
      <c r="C41" s="2">
        <v>0.38868513262526111</v>
      </c>
      <c r="D41" s="2">
        <f t="shared" si="1"/>
        <v>0.67794770002365112</v>
      </c>
      <c r="E41" s="2"/>
      <c r="F41" s="2">
        <f t="shared" si="2"/>
        <v>5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x14ac:dyDescent="0.25">
      <c r="A42" s="2">
        <v>1.2551942878261604</v>
      </c>
      <c r="B42" s="2">
        <f t="shared" si="0"/>
        <v>0.2669365406036377</v>
      </c>
      <c r="C42" s="2">
        <v>0.68825133832698171</v>
      </c>
      <c r="D42" s="2">
        <f t="shared" si="1"/>
        <v>0.50245392322540283</v>
      </c>
      <c r="E42" s="2"/>
      <c r="F42" s="2">
        <f t="shared" si="2"/>
        <v>5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25">
      <c r="A43" s="2">
        <v>4.4816695191251767</v>
      </c>
      <c r="B43" s="2">
        <f t="shared" si="0"/>
        <v>5.3184837102890001E-2</v>
      </c>
      <c r="C43" s="2">
        <v>0.66604284492484078</v>
      </c>
      <c r="D43" s="2">
        <f t="shared" si="1"/>
        <v>0.51373749971389771</v>
      </c>
      <c r="E43" s="2"/>
      <c r="F43" s="2">
        <f t="shared" si="2"/>
        <v>5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25">
      <c r="A44" s="2">
        <v>1.1712165120648542E-3</v>
      </c>
      <c r="B44" s="2">
        <f t="shared" si="0"/>
        <v>0.49970728158950806</v>
      </c>
      <c r="C44" s="2">
        <v>0.770071353326648</v>
      </c>
      <c r="D44" s="2">
        <f t="shared" si="1"/>
        <v>0.46298003196716309</v>
      </c>
      <c r="E44" s="2"/>
      <c r="F44" s="2">
        <f t="shared" si="2"/>
        <v>5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25">
      <c r="A45" s="2">
        <v>0.78260408199135856</v>
      </c>
      <c r="B45" s="2">
        <f t="shared" si="0"/>
        <v>0.33808794617652893</v>
      </c>
      <c r="C45" s="2">
        <v>1.0399491656595323</v>
      </c>
      <c r="D45" s="2">
        <f t="shared" si="1"/>
        <v>0.35347265005111694</v>
      </c>
      <c r="E45" s="2"/>
      <c r="F45" s="2">
        <f t="shared" si="2"/>
        <v>5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25">
      <c r="A46" s="2">
        <v>8.3076902719501255</v>
      </c>
      <c r="B46" s="2">
        <f t="shared" si="0"/>
        <v>7.8519582748413069E-3</v>
      </c>
      <c r="C46" s="2">
        <v>0.9042777987868279</v>
      </c>
      <c r="D46" s="2">
        <f t="shared" si="1"/>
        <v>0.40483415126800537</v>
      </c>
      <c r="E46" s="2"/>
      <c r="F46" s="2">
        <f t="shared" si="2"/>
        <v>5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25">
      <c r="A47" s="2">
        <v>1.1061312435662032</v>
      </c>
      <c r="B47" s="2">
        <f t="shared" si="0"/>
        <v>0.28759190440177917</v>
      </c>
      <c r="C47" s="2">
        <v>1.3103279581349583</v>
      </c>
      <c r="D47" s="2">
        <f t="shared" si="1"/>
        <v>0.26973158121109009</v>
      </c>
      <c r="E47" s="2"/>
      <c r="F47" s="2">
        <f t="shared" si="2"/>
        <v>5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25">
      <c r="A48" s="2">
        <v>4.6041257085552285</v>
      </c>
      <c r="B48" s="2">
        <f t="shared" si="0"/>
        <v>5.0026118755340583E-2</v>
      </c>
      <c r="C48" s="2">
        <v>2.8896891601085049</v>
      </c>
      <c r="D48" s="2">
        <f t="shared" si="1"/>
        <v>5.5593490600585944E-2</v>
      </c>
      <c r="E48" s="2"/>
      <c r="F48" s="2">
        <f t="shared" si="2"/>
        <v>5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25">
      <c r="A49" s="2">
        <v>4.5456131155568906</v>
      </c>
      <c r="B49" s="2">
        <f t="shared" si="0"/>
        <v>5.1511317491531379E-2</v>
      </c>
      <c r="C49" s="2">
        <v>1.4112218257048545</v>
      </c>
      <c r="D49" s="2">
        <f t="shared" si="1"/>
        <v>0.24384516477584842</v>
      </c>
      <c r="E49" s="2"/>
      <c r="F49" s="2">
        <f t="shared" si="2"/>
        <v>5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</row>
    <row r="50" spans="1:41" x14ac:dyDescent="0.25">
      <c r="A50" s="2">
        <v>0.44907806963543123</v>
      </c>
      <c r="B50" s="2">
        <f t="shared" si="0"/>
        <v>0.39944219589233398</v>
      </c>
      <c r="C50" s="2">
        <v>2.1144032655015296E-2</v>
      </c>
      <c r="D50" s="2">
        <f t="shared" si="1"/>
        <v>0.97907793521881104</v>
      </c>
      <c r="E50" s="2"/>
      <c r="F50" s="2">
        <f t="shared" si="2"/>
        <v>5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25">
      <c r="A51" s="2">
        <v>2.5141827289355891</v>
      </c>
      <c r="B51" s="2">
        <f t="shared" si="0"/>
        <v>0.14224013686180115</v>
      </c>
      <c r="C51" s="2">
        <v>2.7982553913369621</v>
      </c>
      <c r="D51" s="2">
        <f t="shared" si="1"/>
        <v>6.0916244983673096E-2</v>
      </c>
      <c r="E51" s="2"/>
      <c r="F51" s="2">
        <f t="shared" si="2"/>
        <v>5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</row>
    <row r="52" spans="1:41" x14ac:dyDescent="0.25">
      <c r="A52" s="2">
        <v>6.173539669489343</v>
      </c>
      <c r="B52" s="2">
        <f t="shared" si="0"/>
        <v>2.2824585437774658E-2</v>
      </c>
      <c r="C52" s="2">
        <v>0.94086150509216226</v>
      </c>
      <c r="D52" s="2">
        <f t="shared" si="1"/>
        <v>0.39029145240783691</v>
      </c>
      <c r="E52" s="2"/>
      <c r="F52" s="2">
        <f t="shared" si="2"/>
        <v>5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</row>
    <row r="53" spans="1:4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</row>
    <row r="54" spans="1:4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1" x14ac:dyDescent="0.25">
      <c r="Q58" s="3"/>
      <c r="R58" s="3"/>
    </row>
    <row r="59" spans="1:41" x14ac:dyDescent="0.25">
      <c r="Q59" s="3"/>
      <c r="R59" s="3"/>
    </row>
    <row r="60" spans="1:41" x14ac:dyDescent="0.25">
      <c r="Q60" s="3"/>
      <c r="R60" s="3"/>
    </row>
    <row r="61" spans="1:41" x14ac:dyDescent="0.25">
      <c r="Q61" s="3"/>
      <c r="R61" s="3"/>
    </row>
  </sheetData>
  <mergeCells count="5">
    <mergeCell ref="M1:O1"/>
    <mergeCell ref="Y1:AA1"/>
    <mergeCell ref="AK1:AM1"/>
    <mergeCell ref="A1:F1"/>
    <mergeCell ref="I23:N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ndom_Numbers_Generator">
                <anchor moveWithCells="1" sizeWithCells="1">
                  <from>
                    <xdr:col>15</xdr:col>
                    <xdr:colOff>0</xdr:colOff>
                    <xdr:row>22</xdr:row>
                    <xdr:rowOff>19050</xdr:rowOff>
                  </from>
                  <to>
                    <xdr:col>20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F52"/>
  <sheetViews>
    <sheetView workbookViewId="0">
      <selection activeCell="V26" sqref="V26"/>
    </sheetView>
  </sheetViews>
  <sheetFormatPr defaultRowHeight="15" x14ac:dyDescent="0.25"/>
  <cols>
    <col min="1" max="1" width="11.5703125" customWidth="1"/>
    <col min="3" max="3" width="12.5703125" customWidth="1"/>
    <col min="5" max="5" width="12" customWidth="1"/>
  </cols>
  <sheetData>
    <row r="1" spans="1:6" x14ac:dyDescent="0.25">
      <c r="A1" s="9" t="s">
        <v>5</v>
      </c>
      <c r="B1" s="9"/>
      <c r="C1" s="9"/>
      <c r="D1" s="9"/>
      <c r="E1" s="9"/>
      <c r="F1" s="9"/>
    </row>
    <row r="2" spans="1:6" x14ac:dyDescent="0.25">
      <c r="A2" s="1" t="s">
        <v>6</v>
      </c>
      <c r="B2" s="1" t="s">
        <v>1</v>
      </c>
      <c r="C2" s="1" t="s">
        <v>7</v>
      </c>
      <c r="D2" s="1" t="s">
        <v>1</v>
      </c>
      <c r="E2" s="1" t="s">
        <v>8</v>
      </c>
      <c r="F2" s="1" t="s">
        <v>1</v>
      </c>
    </row>
    <row r="3" spans="1:6" x14ac:dyDescent="0.25">
      <c r="A3" s="2">
        <v>2.5537474059967402</v>
      </c>
      <c r="B3" s="2">
        <f>(EXP(-(A3-2)/1))/(1*(1+EXP(-(A3-2)/1))^2)</f>
        <v>0.23177376337337913</v>
      </c>
      <c r="C3" s="2">
        <v>9.9020029797407894</v>
      </c>
      <c r="D3" s="2">
        <f>(EXP(-(C3-9)/4))/(4*(1+EXP(-(C3-9)/4))^2)</f>
        <v>6.1712145211870073E-2</v>
      </c>
      <c r="E3" s="2">
        <v>5.0383107455256271</v>
      </c>
      <c r="F3" s="2">
        <f>(EXP(-(E3-5)/2))/(2*(1+EXP(-(E3-5)/2))^2)</f>
        <v>0.12498853419164213</v>
      </c>
    </row>
    <row r="4" spans="1:6" x14ac:dyDescent="0.25">
      <c r="A4" s="2">
        <v>2.0404265139285727</v>
      </c>
      <c r="B4" s="2">
        <f t="shared" ref="B4:B52" si="0">(EXP(-(A4-2)/1))/(1*(1+EXP(-(A4-2)/1))^2)</f>
        <v>0.24989788387664191</v>
      </c>
      <c r="C4" s="2">
        <v>12.918890294895908</v>
      </c>
      <c r="D4" s="2">
        <f t="shared" ref="D4:D52" si="1">(EXP(-(C4-9)/4))/(4*(1+EXP(-(C4-9)/4))^2)</f>
        <v>4.9611715016396843E-2</v>
      </c>
      <c r="E4" s="2">
        <v>5.7034200903734744</v>
      </c>
      <c r="F4" s="2">
        <f t="shared" ref="F4:F52" si="2">(EXP(-(E4-5)/2))/(2*(1+EXP(-(E4-5)/2))^2)</f>
        <v>0.12121269817679801</v>
      </c>
    </row>
    <row r="5" spans="1:6" x14ac:dyDescent="0.25">
      <c r="A5" s="2">
        <v>3.6908577339826771</v>
      </c>
      <c r="B5" s="2">
        <f t="shared" si="0"/>
        <v>0.13143208074751198</v>
      </c>
      <c r="C5" s="2">
        <v>1.3053299299179715</v>
      </c>
      <c r="D5" s="2">
        <f t="shared" si="1"/>
        <v>2.780221083421619E-2</v>
      </c>
      <c r="E5" s="2">
        <v>3.3501403341006859</v>
      </c>
      <c r="F5" s="2">
        <f t="shared" si="2"/>
        <v>0.10593250858981484</v>
      </c>
    </row>
    <row r="6" spans="1:6" x14ac:dyDescent="0.25">
      <c r="A6" s="2">
        <v>2.1022523136599927</v>
      </c>
      <c r="B6" s="2">
        <f t="shared" si="0"/>
        <v>0.24934766606907033</v>
      </c>
      <c r="C6" s="2">
        <v>4.5908660378163653</v>
      </c>
      <c r="D6" s="2">
        <f t="shared" si="1"/>
        <v>4.6788916961926219E-2</v>
      </c>
      <c r="E6" s="2">
        <v>8.0450594333367356</v>
      </c>
      <c r="F6" s="2">
        <f t="shared" si="2"/>
        <v>7.3508163811055724E-2</v>
      </c>
    </row>
    <row r="7" spans="1:6" x14ac:dyDescent="0.25">
      <c r="A7" s="2">
        <v>3.0602187477252221</v>
      </c>
      <c r="B7" s="2">
        <f t="shared" si="0"/>
        <v>0.19108100817723178</v>
      </c>
      <c r="C7" s="2">
        <v>12.918980402065591</v>
      </c>
      <c r="D7" s="2">
        <f t="shared" si="1"/>
        <v>4.9611207508028166E-2</v>
      </c>
      <c r="E7" s="2">
        <v>5.6216099965016237</v>
      </c>
      <c r="F7" s="2">
        <f t="shared" si="2"/>
        <v>0.12202920268680195</v>
      </c>
    </row>
    <row r="8" spans="1:6" x14ac:dyDescent="0.25">
      <c r="A8" s="2">
        <v>1.4731339404947017</v>
      </c>
      <c r="B8" s="2">
        <f t="shared" si="0"/>
        <v>0.23342295494920504</v>
      </c>
      <c r="C8" s="2">
        <v>6.1010991994191226</v>
      </c>
      <c r="D8" s="2">
        <f t="shared" si="1"/>
        <v>5.496170689660574E-2</v>
      </c>
      <c r="E8" s="2">
        <v>4.6537214777863136</v>
      </c>
      <c r="F8" s="2">
        <f t="shared" si="2"/>
        <v>0.1240678729629323</v>
      </c>
    </row>
    <row r="9" spans="1:6" x14ac:dyDescent="0.25">
      <c r="A9" s="2">
        <v>1.8313203437046874</v>
      </c>
      <c r="B9" s="2">
        <f t="shared" si="0"/>
        <v>0.24823009743223784</v>
      </c>
      <c r="C9" s="2">
        <v>13.254256595745394</v>
      </c>
      <c r="D9" s="2">
        <f t="shared" si="1"/>
        <v>4.7692630640965739E-2</v>
      </c>
      <c r="E9" s="2">
        <v>2.038789978314306</v>
      </c>
      <c r="F9" s="2">
        <f t="shared" si="2"/>
        <v>7.549330034606605E-2</v>
      </c>
    </row>
    <row r="10" spans="1:6" x14ac:dyDescent="0.25">
      <c r="A10" s="2">
        <v>3.6860029571297002</v>
      </c>
      <c r="B10" s="2">
        <f t="shared" si="0"/>
        <v>0.13187183167104874</v>
      </c>
      <c r="C10" s="2">
        <v>18.259594363415481</v>
      </c>
      <c r="D10" s="2">
        <f t="shared" si="1"/>
        <v>2.0453792066657435E-2</v>
      </c>
      <c r="E10" s="2">
        <v>4.6719578777929298</v>
      </c>
      <c r="F10" s="2">
        <f t="shared" si="2"/>
        <v>0.1241630394101776</v>
      </c>
    </row>
    <row r="11" spans="1:6" x14ac:dyDescent="0.25">
      <c r="A11" s="2">
        <v>-0.72602850717379042</v>
      </c>
      <c r="B11" s="2">
        <f t="shared" si="0"/>
        <v>5.7678136109640121E-2</v>
      </c>
      <c r="C11" s="2">
        <v>22.775692040972721</v>
      </c>
      <c r="D11" s="2">
        <f t="shared" si="1"/>
        <v>7.4981664664042231E-3</v>
      </c>
      <c r="E11" s="2">
        <v>5.5838445422724821</v>
      </c>
      <c r="F11" s="2">
        <f t="shared" si="2"/>
        <v>0.12237429076325945</v>
      </c>
    </row>
    <row r="12" spans="1:6" x14ac:dyDescent="0.25">
      <c r="A12" s="2">
        <v>1.3611236599780865</v>
      </c>
      <c r="B12" s="2">
        <f t="shared" si="0"/>
        <v>0.22612993182052321</v>
      </c>
      <c r="C12" s="2">
        <v>11.965241512544496</v>
      </c>
      <c r="D12" s="2">
        <f t="shared" si="1"/>
        <v>5.4642743568365411E-2</v>
      </c>
      <c r="E12" s="2">
        <v>4.9274469929182301</v>
      </c>
      <c r="F12" s="2">
        <f t="shared" si="2"/>
        <v>0.12495888449603144</v>
      </c>
    </row>
    <row r="13" spans="1:6" x14ac:dyDescent="0.25">
      <c r="A13" s="2">
        <v>1.9756493457707263</v>
      </c>
      <c r="B13" s="2">
        <f t="shared" si="0"/>
        <v>0.24996294401455188</v>
      </c>
      <c r="C13" s="2">
        <v>3.697190064936831</v>
      </c>
      <c r="D13" s="2">
        <f t="shared" si="1"/>
        <v>4.1456307275601567E-2</v>
      </c>
      <c r="E13" s="2">
        <v>7.4417603433540602</v>
      </c>
      <c r="F13" s="2">
        <f t="shared" si="2"/>
        <v>8.7948569662854567E-2</v>
      </c>
    </row>
    <row r="14" spans="1:6" x14ac:dyDescent="0.25">
      <c r="A14" s="2">
        <v>2.4453308988455644</v>
      </c>
      <c r="B14" s="2">
        <f t="shared" si="0"/>
        <v>0.2380034985826569</v>
      </c>
      <c r="C14" s="2">
        <v>12.441557136781963</v>
      </c>
      <c r="D14" s="2">
        <f t="shared" si="1"/>
        <v>5.2223922330394856E-2</v>
      </c>
      <c r="E14" s="2">
        <v>4.0277971938254753</v>
      </c>
      <c r="F14" s="2">
        <f t="shared" si="2"/>
        <v>0.117897158782597</v>
      </c>
    </row>
    <row r="15" spans="1:6" x14ac:dyDescent="0.25">
      <c r="A15" s="2">
        <v>4.1178358015071312</v>
      </c>
      <c r="B15" s="2">
        <f t="shared" si="0"/>
        <v>9.5845863617196173E-2</v>
      </c>
      <c r="C15" s="2">
        <v>13.714883988120587</v>
      </c>
      <c r="D15" s="2">
        <f t="shared" si="1"/>
        <v>4.4981127189323004E-2</v>
      </c>
      <c r="E15" s="2">
        <v>5.0813677467361424</v>
      </c>
      <c r="F15" s="2">
        <f t="shared" si="2"/>
        <v>0.12494828996696405</v>
      </c>
    </row>
    <row r="16" spans="1:6" x14ac:dyDescent="0.25">
      <c r="A16" s="2">
        <v>0.71089731411844714</v>
      </c>
      <c r="B16" s="2">
        <f t="shared" si="0"/>
        <v>0.16934668620352511</v>
      </c>
      <c r="C16" s="2">
        <v>9.3125635782687084</v>
      </c>
      <c r="D16" s="2">
        <f t="shared" si="1"/>
        <v>6.2404690767138504E-2</v>
      </c>
      <c r="E16" s="2">
        <v>3.4849200998411787</v>
      </c>
      <c r="F16" s="2">
        <f t="shared" si="2"/>
        <v>0.10865217370143654</v>
      </c>
    </row>
    <row r="17" spans="1:6" x14ac:dyDescent="0.25">
      <c r="A17" s="2">
        <v>2.1617887848887789</v>
      </c>
      <c r="B17" s="2">
        <f t="shared" si="0"/>
        <v>0.24837113505227748</v>
      </c>
      <c r="C17" s="2">
        <v>13.296869245501846</v>
      </c>
      <c r="D17" s="2">
        <f t="shared" si="1"/>
        <v>4.7444942614887076E-2</v>
      </c>
      <c r="E17" s="2">
        <v>0.88705340321430448</v>
      </c>
      <c r="F17" s="2">
        <f t="shared" si="2"/>
        <v>5.0270190172936331E-2</v>
      </c>
    </row>
    <row r="18" spans="1:6" x14ac:dyDescent="0.25">
      <c r="A18" s="2">
        <v>0.88162001323233152</v>
      </c>
      <c r="B18" s="2">
        <f t="shared" si="0"/>
        <v>0.18564234944045663</v>
      </c>
      <c r="C18" s="2">
        <v>11.642369233469438</v>
      </c>
      <c r="D18" s="2">
        <f t="shared" si="1"/>
        <v>5.6148433637641659E-2</v>
      </c>
      <c r="E18" s="2">
        <v>6.0600132185359517</v>
      </c>
      <c r="F18" s="2">
        <f t="shared" si="2"/>
        <v>0.11661686225750145</v>
      </c>
    </row>
    <row r="19" spans="1:6" x14ac:dyDescent="0.25">
      <c r="A19" s="2">
        <v>1.6107815258846312</v>
      </c>
      <c r="B19" s="2">
        <f t="shared" si="0"/>
        <v>0.24076583770971283</v>
      </c>
      <c r="C19" s="2">
        <v>21.2263562715737</v>
      </c>
      <c r="D19" s="2">
        <f t="shared" si="1"/>
        <v>1.0728701040121363E-2</v>
      </c>
      <c r="E19" s="2">
        <v>6.6708655466800195</v>
      </c>
      <c r="F19" s="2">
        <f t="shared" si="2"/>
        <v>0.10549639423193291</v>
      </c>
    </row>
    <row r="20" spans="1:6" x14ac:dyDescent="0.25">
      <c r="A20" s="2">
        <v>0.39489856370011456</v>
      </c>
      <c r="B20" s="2">
        <f t="shared" si="0"/>
        <v>0.13929063126691688</v>
      </c>
      <c r="C20" s="2">
        <v>9.2812666526103733</v>
      </c>
      <c r="D20" s="2">
        <f t="shared" si="1"/>
        <v>6.2422806853135171E-2</v>
      </c>
      <c r="E20" s="2">
        <v>6.7630020517644684</v>
      </c>
      <c r="F20" s="2">
        <f t="shared" si="2"/>
        <v>0.10354792412623938</v>
      </c>
    </row>
    <row r="21" spans="1:6" x14ac:dyDescent="0.25">
      <c r="A21" s="2">
        <v>5.9571794158833562</v>
      </c>
      <c r="B21" s="2">
        <f t="shared" si="0"/>
        <v>1.8406480629945331E-2</v>
      </c>
      <c r="C21" s="2">
        <v>14.396408645828757</v>
      </c>
      <c r="D21" s="2">
        <f t="shared" si="1"/>
        <v>4.0893527764302995E-2</v>
      </c>
      <c r="E21" s="2">
        <v>8.4643232779439828</v>
      </c>
      <c r="F21" s="2">
        <f t="shared" si="2"/>
        <v>6.3858903475120271E-2</v>
      </c>
    </row>
    <row r="22" spans="1:6" x14ac:dyDescent="0.25">
      <c r="A22" s="2">
        <v>3.3227048238305676</v>
      </c>
      <c r="B22" s="2">
        <f t="shared" si="0"/>
        <v>0.16611367140626498</v>
      </c>
      <c r="C22" s="2">
        <v>1.5861032278130942</v>
      </c>
      <c r="D22" s="2">
        <f t="shared" si="1"/>
        <v>2.9278650076658863E-2</v>
      </c>
      <c r="E22" s="2">
        <v>4.7611472550817853</v>
      </c>
      <c r="F22" s="2">
        <f t="shared" si="2"/>
        <v>0.12455534928400884</v>
      </c>
    </row>
    <row r="23" spans="1:6" x14ac:dyDescent="0.25">
      <c r="A23" s="2">
        <v>4.5274904068287807</v>
      </c>
      <c r="B23" s="2">
        <f t="shared" si="0"/>
        <v>6.8484235422285919E-2</v>
      </c>
      <c r="C23" s="2">
        <v>7.5668042897935166</v>
      </c>
      <c r="D23" s="2">
        <f t="shared" si="1"/>
        <v>6.053624325391295E-2</v>
      </c>
      <c r="E23" s="2">
        <v>7.4935168701321349</v>
      </c>
      <c r="F23" s="2">
        <f t="shared" si="2"/>
        <v>8.6707977020692467E-2</v>
      </c>
    </row>
    <row r="24" spans="1:6" x14ac:dyDescent="0.25">
      <c r="A24" s="2">
        <v>4.1380557276334162</v>
      </c>
      <c r="B24" s="2">
        <f t="shared" si="0"/>
        <v>9.4332393931139805E-2</v>
      </c>
      <c r="C24" s="2">
        <v>4.5001440617864494</v>
      </c>
      <c r="D24" s="2">
        <f t="shared" si="1"/>
        <v>4.6255436679629738E-2</v>
      </c>
      <c r="E24" s="2">
        <v>4.3172105320305025</v>
      </c>
      <c r="F24" s="2">
        <f t="shared" si="2"/>
        <v>0.12142740035533708</v>
      </c>
    </row>
    <row r="25" spans="1:6" x14ac:dyDescent="0.25">
      <c r="A25" s="2">
        <v>2.700531381912223</v>
      </c>
      <c r="B25" s="2">
        <f t="shared" si="0"/>
        <v>0.22167323313859916</v>
      </c>
      <c r="C25" s="2">
        <v>-1.21846868398727</v>
      </c>
      <c r="D25" s="2">
        <f t="shared" si="1"/>
        <v>1.672901562494555E-2</v>
      </c>
      <c r="E25" s="2">
        <v>6.12076731842755</v>
      </c>
      <c r="F25" s="2">
        <f t="shared" si="2"/>
        <v>0.11567823574512023</v>
      </c>
    </row>
    <row r="26" spans="1:6" x14ac:dyDescent="0.25">
      <c r="A26" s="2">
        <v>3.9165222421694192</v>
      </c>
      <c r="B26" s="2">
        <f t="shared" si="0"/>
        <v>0.11180185099505023</v>
      </c>
      <c r="C26" s="2">
        <v>11.814357500319582</v>
      </c>
      <c r="D26" s="2">
        <f t="shared" si="1"/>
        <v>5.5361177822728543E-2</v>
      </c>
      <c r="E26" s="2">
        <v>1.090297561235595</v>
      </c>
      <c r="F26" s="2">
        <f t="shared" si="2"/>
        <v>5.4321529341905261E-2</v>
      </c>
    </row>
    <row r="27" spans="1:6" x14ac:dyDescent="0.25">
      <c r="A27" s="2">
        <v>10.329559939467194</v>
      </c>
      <c r="B27" s="2">
        <f t="shared" si="0"/>
        <v>2.4116181031885714E-4</v>
      </c>
      <c r="C27" s="2">
        <v>8.31124484098161</v>
      </c>
      <c r="D27" s="2">
        <f t="shared" si="1"/>
        <v>6.2039014343695527E-2</v>
      </c>
      <c r="E27" s="2">
        <v>5.1760001220281211</v>
      </c>
      <c r="F27" s="2">
        <f t="shared" si="2"/>
        <v>0.12475831166430673</v>
      </c>
    </row>
    <row r="28" spans="1:6" x14ac:dyDescent="0.25">
      <c r="A28" s="2">
        <v>1.8525572041317084</v>
      </c>
      <c r="B28" s="2">
        <f t="shared" si="0"/>
        <v>0.24864619667560814</v>
      </c>
      <c r="C28" s="2">
        <v>18.731962820387952</v>
      </c>
      <c r="D28" s="2">
        <f t="shared" si="1"/>
        <v>1.8545061406030069E-2</v>
      </c>
      <c r="E28" s="2">
        <v>7.8917992993042834</v>
      </c>
      <c r="F28" s="2">
        <f t="shared" si="2"/>
        <v>7.7146158406485199E-2</v>
      </c>
    </row>
    <row r="29" spans="1:6" x14ac:dyDescent="0.25">
      <c r="A29" s="2">
        <v>1.3498025299077443</v>
      </c>
      <c r="B29" s="2">
        <f t="shared" si="0"/>
        <v>0.22533373931082323</v>
      </c>
      <c r="C29" s="2">
        <v>6.7959246578765207</v>
      </c>
      <c r="D29" s="2">
        <f t="shared" si="1"/>
        <v>5.7986045682318896E-2</v>
      </c>
      <c r="E29" s="2">
        <v>3.454992074260026</v>
      </c>
      <c r="F29" s="2">
        <f t="shared" si="2"/>
        <v>0.10806053447050878</v>
      </c>
    </row>
    <row r="30" spans="1:6" x14ac:dyDescent="0.25">
      <c r="A30" s="2">
        <v>1.8234872179835355</v>
      </c>
      <c r="B30" s="2">
        <f t="shared" si="0"/>
        <v>0.2480627698241733</v>
      </c>
      <c r="C30" s="2">
        <v>10.45525493448563</v>
      </c>
      <c r="D30" s="2">
        <f t="shared" si="1"/>
        <v>6.0476650402303982E-2</v>
      </c>
      <c r="E30" s="2">
        <v>2.8302462044529308</v>
      </c>
      <c r="F30" s="2">
        <f t="shared" si="2"/>
        <v>9.4392715650855052E-2</v>
      </c>
    </row>
    <row r="31" spans="1:6" x14ac:dyDescent="0.25">
      <c r="A31" s="2">
        <v>0.43260568162009672</v>
      </c>
      <c r="B31" s="2">
        <f t="shared" si="0"/>
        <v>0.14280149329757916</v>
      </c>
      <c r="C31" s="2">
        <v>-3.7564830991409988</v>
      </c>
      <c r="D31" s="2">
        <f t="shared" si="1"/>
        <v>9.5027081118592704E-3</v>
      </c>
      <c r="E31" s="2">
        <v>4.0722339351817984</v>
      </c>
      <c r="F31" s="2">
        <f t="shared" si="2"/>
        <v>0.11850941539134217</v>
      </c>
    </row>
    <row r="32" spans="1:6" x14ac:dyDescent="0.25">
      <c r="A32" s="2">
        <v>4.4168929328236732</v>
      </c>
      <c r="B32" s="2">
        <f t="shared" si="0"/>
        <v>7.5187007565418185E-2</v>
      </c>
      <c r="C32" s="2">
        <v>17.177448096182545</v>
      </c>
      <c r="D32" s="2">
        <f t="shared" si="1"/>
        <v>2.5371201350807854E-2</v>
      </c>
      <c r="E32" s="2">
        <v>2.4436530007863686</v>
      </c>
      <c r="F32" s="2">
        <f t="shared" si="2"/>
        <v>8.5198875498910823E-2</v>
      </c>
    </row>
    <row r="33" spans="1:6" x14ac:dyDescent="0.25">
      <c r="A33" s="2">
        <v>3.437566416433163</v>
      </c>
      <c r="B33" s="2">
        <f t="shared" si="0"/>
        <v>0.15508824526184734</v>
      </c>
      <c r="C33" s="2">
        <v>-0.96041656516581497</v>
      </c>
      <c r="D33" s="2">
        <f t="shared" si="1"/>
        <v>1.7673548026222896E-2</v>
      </c>
      <c r="E33" s="2">
        <v>8.2906218272581533</v>
      </c>
      <c r="F33" s="2">
        <f t="shared" si="2"/>
        <v>6.7791337925738673E-2</v>
      </c>
    </row>
    <row r="34" spans="1:6" x14ac:dyDescent="0.25">
      <c r="A34" s="2">
        <v>1.2512174967639651</v>
      </c>
      <c r="B34" s="2">
        <f t="shared" si="0"/>
        <v>0.21799001144785279</v>
      </c>
      <c r="C34" s="2">
        <v>7.0382485743359666</v>
      </c>
      <c r="D34" s="2">
        <f t="shared" si="1"/>
        <v>5.8887414537647224E-2</v>
      </c>
      <c r="E34" s="2">
        <v>2.1287043285455347</v>
      </c>
      <c r="F34" s="2">
        <f t="shared" si="2"/>
        <v>7.7635800750499584E-2</v>
      </c>
    </row>
    <row r="35" spans="1:6" x14ac:dyDescent="0.25">
      <c r="A35" s="2">
        <v>2.183683363049437</v>
      </c>
      <c r="B35" s="2">
        <f t="shared" si="0"/>
        <v>0.24790307786105001</v>
      </c>
      <c r="C35" s="2">
        <v>11.516192486305798</v>
      </c>
      <c r="D35" s="2">
        <f t="shared" si="1"/>
        <v>5.6703188041082875E-2</v>
      </c>
      <c r="E35" s="2">
        <v>7.7400191318706302</v>
      </c>
      <c r="F35" s="2">
        <f t="shared" si="2"/>
        <v>8.0782062524589207E-2</v>
      </c>
    </row>
    <row r="36" spans="1:6" x14ac:dyDescent="0.25">
      <c r="A36" s="2">
        <v>2.5883082258699974</v>
      </c>
      <c r="B36" s="2">
        <f t="shared" si="0"/>
        <v>0.22955761176443443</v>
      </c>
      <c r="C36" s="2">
        <v>15.962116478286418</v>
      </c>
      <c r="D36" s="2">
        <f t="shared" si="1"/>
        <v>3.1742862094631612E-2</v>
      </c>
      <c r="E36" s="2">
        <v>-1.1936907933445857</v>
      </c>
      <c r="F36" s="2">
        <f t="shared" si="2"/>
        <v>2.0684039876179835E-2</v>
      </c>
    </row>
    <row r="37" spans="1:6" x14ac:dyDescent="0.25">
      <c r="A37" s="2">
        <v>3.7347494435985849</v>
      </c>
      <c r="B37" s="2">
        <f t="shared" si="0"/>
        <v>0.12748675668211362</v>
      </c>
      <c r="C37" s="2">
        <v>9.3205191746000668</v>
      </c>
      <c r="D37" s="2">
        <f t="shared" si="1"/>
        <v>6.2399782515661251E-2</v>
      </c>
      <c r="E37" s="2">
        <v>10.304481616357151</v>
      </c>
      <c r="F37" s="2">
        <f t="shared" si="2"/>
        <v>3.0757337110896895E-2</v>
      </c>
    </row>
    <row r="38" spans="1:6" x14ac:dyDescent="0.25">
      <c r="A38" s="2">
        <v>1.1316811224262269</v>
      </c>
      <c r="B38" s="2">
        <f t="shared" si="0"/>
        <v>0.20822236878643707</v>
      </c>
      <c r="C38" s="2">
        <v>14.07645250235165</v>
      </c>
      <c r="D38" s="2">
        <f t="shared" si="1"/>
        <v>4.2817187854378602E-2</v>
      </c>
      <c r="E38" s="2">
        <v>10.44972065849668</v>
      </c>
      <c r="F38" s="2">
        <f t="shared" si="2"/>
        <v>2.8868629363586241E-2</v>
      </c>
    </row>
    <row r="39" spans="1:6" x14ac:dyDescent="0.25">
      <c r="A39" s="2">
        <v>-0.56818862256441349</v>
      </c>
      <c r="B39" s="2">
        <f t="shared" si="0"/>
        <v>6.614258357174306E-2</v>
      </c>
      <c r="C39" s="2">
        <v>-11.263604187136192</v>
      </c>
      <c r="D39" s="2">
        <f t="shared" si="1"/>
        <v>1.5573459363826807E-3</v>
      </c>
      <c r="E39" s="2">
        <v>2.3113830926908281</v>
      </c>
      <c r="F39" s="2">
        <f t="shared" si="2"/>
        <v>8.2017591818837943E-2</v>
      </c>
    </row>
    <row r="40" spans="1:6" x14ac:dyDescent="0.25">
      <c r="A40" s="2">
        <v>1.8790025086898445</v>
      </c>
      <c r="B40" s="2">
        <f t="shared" si="0"/>
        <v>0.24908720354140707</v>
      </c>
      <c r="C40" s="2">
        <v>16.588985553601365</v>
      </c>
      <c r="D40" s="2">
        <f t="shared" si="1"/>
        <v>2.8352738389443747E-2</v>
      </c>
      <c r="E40" s="2">
        <v>5.9824528383509898</v>
      </c>
      <c r="F40" s="2">
        <f t="shared" si="2"/>
        <v>0.11775248553515638</v>
      </c>
    </row>
    <row r="41" spans="1:6" x14ac:dyDescent="0.25">
      <c r="A41" s="2">
        <v>4.3180214161846413</v>
      </c>
      <c r="B41" s="2">
        <f t="shared" si="0"/>
        <v>8.1605813029877794E-2</v>
      </c>
      <c r="C41" s="2">
        <v>23.060378389031325</v>
      </c>
      <c r="D41" s="2">
        <f t="shared" si="1"/>
        <v>7.012848344202462E-3</v>
      </c>
      <c r="E41" s="2">
        <v>5.2918447152690407</v>
      </c>
      <c r="F41" s="2">
        <f t="shared" si="2"/>
        <v>0.12433693768440258</v>
      </c>
    </row>
    <row r="42" spans="1:6" x14ac:dyDescent="0.25">
      <c r="A42" s="2">
        <v>0.85972954222581266</v>
      </c>
      <c r="B42" s="2">
        <f t="shared" si="0"/>
        <v>0.18357561208853213</v>
      </c>
      <c r="C42" s="2">
        <v>11.557432843169874</v>
      </c>
      <c r="D42" s="2">
        <f t="shared" si="1"/>
        <v>5.6524063068561489E-2</v>
      </c>
      <c r="E42" s="2">
        <v>8.9935103457497281</v>
      </c>
      <c r="F42" s="2">
        <f t="shared" si="2"/>
        <v>5.2626627154950256E-2</v>
      </c>
    </row>
    <row r="43" spans="1:6" x14ac:dyDescent="0.25">
      <c r="A43" s="2">
        <v>2.3977957164922836</v>
      </c>
      <c r="B43" s="2">
        <f t="shared" si="0"/>
        <v>0.24036501836439686</v>
      </c>
      <c r="C43" s="2">
        <v>8.2349802961913028</v>
      </c>
      <c r="D43" s="2">
        <f t="shared" si="1"/>
        <v>6.1931928130433356E-2</v>
      </c>
      <c r="E43" s="2">
        <v>9.0720891682527594</v>
      </c>
      <c r="F43" s="2">
        <f t="shared" si="2"/>
        <v>5.1068382375133205E-2</v>
      </c>
    </row>
    <row r="44" spans="1:6" x14ac:dyDescent="0.25">
      <c r="A44" s="2">
        <v>2.1527991350886726</v>
      </c>
      <c r="B44" s="2">
        <f t="shared" si="0"/>
        <v>0.24854643601734946</v>
      </c>
      <c r="C44" s="2">
        <v>-0.93273846152064088</v>
      </c>
      <c r="D44" s="2">
        <f t="shared" si="1"/>
        <v>1.7777360186300939E-2</v>
      </c>
      <c r="E44" s="2">
        <v>8.1182337262567437</v>
      </c>
      <c r="F44" s="2">
        <f t="shared" si="2"/>
        <v>7.1788105315185619E-2</v>
      </c>
    </row>
    <row r="45" spans="1:6" x14ac:dyDescent="0.25">
      <c r="A45" s="2">
        <v>2.031340064549962</v>
      </c>
      <c r="B45" s="2">
        <f t="shared" si="0"/>
        <v>0.24993862256985366</v>
      </c>
      <c r="C45" s="2">
        <v>8.3868609390488249</v>
      </c>
      <c r="D45" s="2">
        <f t="shared" si="1"/>
        <v>6.2134304491556783E-2</v>
      </c>
      <c r="E45" s="2">
        <v>10.969530667236302</v>
      </c>
      <c r="F45" s="2">
        <f t="shared" si="2"/>
        <v>2.2901730910644954E-2</v>
      </c>
    </row>
    <row r="46" spans="1:6" x14ac:dyDescent="0.25">
      <c r="A46" s="2">
        <v>3.3392872379897343</v>
      </c>
      <c r="B46" s="2">
        <f t="shared" si="0"/>
        <v>0.1645182022175504</v>
      </c>
      <c r="C46" s="2">
        <v>10.515117946444732</v>
      </c>
      <c r="D46" s="2">
        <f t="shared" si="1"/>
        <v>6.0310756901994715E-2</v>
      </c>
      <c r="E46" s="2">
        <v>3.1622155822398481</v>
      </c>
      <c r="F46" s="2">
        <f t="shared" si="2"/>
        <v>0.10192697178237607</v>
      </c>
    </row>
    <row r="47" spans="1:6" x14ac:dyDescent="0.25">
      <c r="A47" s="2">
        <v>2.7093796256427591</v>
      </c>
      <c r="B47" s="2">
        <f t="shared" si="0"/>
        <v>0.22101014807921257</v>
      </c>
      <c r="C47" s="2">
        <v>2.1473657885513653</v>
      </c>
      <c r="D47" s="2">
        <f t="shared" si="1"/>
        <v>3.2355138183510768E-2</v>
      </c>
      <c r="E47" s="2">
        <v>4.7354361315207152</v>
      </c>
      <c r="F47" s="2">
        <f t="shared" si="2"/>
        <v>0.12445476239466122</v>
      </c>
    </row>
    <row r="48" spans="1:6" x14ac:dyDescent="0.25">
      <c r="A48" s="2">
        <v>4.2490775546646011</v>
      </c>
      <c r="B48" s="2">
        <f t="shared" si="0"/>
        <v>8.6322356808167924E-2</v>
      </c>
      <c r="C48" s="2">
        <v>2.7635624377026122</v>
      </c>
      <c r="D48" s="2">
        <f t="shared" si="1"/>
        <v>3.589422765888628E-2</v>
      </c>
      <c r="E48" s="2">
        <v>4.5094815896278693</v>
      </c>
      <c r="F48" s="2">
        <f t="shared" si="2"/>
        <v>0.12313893339898382</v>
      </c>
    </row>
    <row r="49" spans="1:6" x14ac:dyDescent="0.25">
      <c r="A49" s="2">
        <v>1.6368921440561062</v>
      </c>
      <c r="B49" s="2">
        <f t="shared" si="0"/>
        <v>0.24193729803451089</v>
      </c>
      <c r="C49" s="2">
        <v>6.1232587035718407</v>
      </c>
      <c r="D49" s="2">
        <f t="shared" si="1"/>
        <v>5.5067181149794031E-2</v>
      </c>
      <c r="E49" s="2">
        <v>7.5696088351576361</v>
      </c>
      <c r="F49" s="2">
        <f t="shared" si="2"/>
        <v>8.4880049312259259E-2</v>
      </c>
    </row>
    <row r="50" spans="1:6" x14ac:dyDescent="0.25">
      <c r="A50" s="2">
        <v>3.5865242263969521</v>
      </c>
      <c r="B50" s="2">
        <f t="shared" si="0"/>
        <v>0.14101647817045662</v>
      </c>
      <c r="C50" s="2">
        <v>5.1844741988464076</v>
      </c>
      <c r="D50" s="2">
        <f t="shared" si="1"/>
        <v>5.0190641294758365E-2</v>
      </c>
      <c r="E50" s="2">
        <v>5.2563049431752571</v>
      </c>
      <c r="F50" s="2">
        <f t="shared" si="2"/>
        <v>0.1244881810142715</v>
      </c>
    </row>
    <row r="51" spans="1:6" x14ac:dyDescent="0.25">
      <c r="A51" s="2">
        <v>-0.55064056555038166</v>
      </c>
      <c r="B51" s="2">
        <f t="shared" si="0"/>
        <v>6.7144097611443243E-2</v>
      </c>
      <c r="C51" s="2">
        <v>-13.929885438176814</v>
      </c>
      <c r="D51" s="2">
        <f t="shared" si="1"/>
        <v>8.0454522615891445E-4</v>
      </c>
      <c r="E51" s="2">
        <v>2.8414711354305502</v>
      </c>
      <c r="F51" s="2">
        <f t="shared" si="2"/>
        <v>9.4654666423208411E-2</v>
      </c>
    </row>
    <row r="52" spans="1:6" x14ac:dyDescent="0.25">
      <c r="A52" s="2">
        <v>4.2204410488143402</v>
      </c>
      <c r="B52" s="2">
        <f t="shared" si="0"/>
        <v>8.8339582673810937E-2</v>
      </c>
      <c r="C52" s="2">
        <v>11.656634034777007</v>
      </c>
      <c r="D52" s="2">
        <f t="shared" si="1"/>
        <v>5.6084476987905425E-2</v>
      </c>
      <c r="E52" s="2">
        <v>2.7780496223317943</v>
      </c>
      <c r="F52" s="2">
        <f t="shared" si="2"/>
        <v>9.3169611915634235E-2</v>
      </c>
    </row>
  </sheetData>
  <mergeCells count="1"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andom_Numbers_Generator">
                <anchor moveWithCells="1" sizeWithCells="1">
                  <from>
                    <xdr:col>7</xdr:col>
                    <xdr:colOff>38100</xdr:colOff>
                    <xdr:row>22</xdr:row>
                    <xdr:rowOff>19050</xdr:rowOff>
                  </from>
                  <to>
                    <xdr:col>12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F52"/>
  <sheetViews>
    <sheetView workbookViewId="0">
      <selection activeCell="I28" sqref="I28"/>
    </sheetView>
  </sheetViews>
  <sheetFormatPr defaultRowHeight="15" x14ac:dyDescent="0.25"/>
  <cols>
    <col min="1" max="1" width="16.140625" customWidth="1"/>
    <col min="3" max="3" width="14.7109375" customWidth="1"/>
    <col min="5" max="5" width="17.28515625" customWidth="1"/>
  </cols>
  <sheetData>
    <row r="1" spans="1:6" x14ac:dyDescent="0.25">
      <c r="A1" s="9" t="s">
        <v>9</v>
      </c>
      <c r="B1" s="9"/>
      <c r="C1" s="9"/>
      <c r="D1" s="9"/>
      <c r="E1" s="9"/>
      <c r="F1" s="9"/>
    </row>
    <row r="2" spans="1:6" x14ac:dyDescent="0.25">
      <c r="A2" s="1" t="s">
        <v>10</v>
      </c>
      <c r="B2" s="1" t="s">
        <v>1</v>
      </c>
      <c r="C2" s="1" t="s">
        <v>11</v>
      </c>
      <c r="D2" s="1" t="s">
        <v>1</v>
      </c>
      <c r="E2" s="1" t="s">
        <v>12</v>
      </c>
      <c r="F2" s="1" t="s">
        <v>1</v>
      </c>
    </row>
    <row r="3" spans="1:6" x14ac:dyDescent="0.25">
      <c r="A3" s="2">
        <v>1.8932326440029836</v>
      </c>
      <c r="B3" s="2">
        <f>IF(AND(1&lt;=A3,A3&lt;=2),2*(A3-1)/((3-1)*(2-1)),IF(AND(2&lt;A3,A3&lt;=3),2*(3-A3)/((3-1)*(3-2)),0))</f>
        <v>0.89323264400298363</v>
      </c>
      <c r="C3" s="2">
        <v>5.5051764303120381</v>
      </c>
      <c r="D3" s="2">
        <f>IF(AND(3&lt;=C3,C3&lt;=5),2*(C3-3)/((7-3)*(5-3)),IF(AND(5&lt;C3,C3&lt;=7),2*(7-C3)/((7-3)*(7-5)),0))</f>
        <v>0.37370589242199048</v>
      </c>
      <c r="E3" s="2">
        <v>18.336934344972725</v>
      </c>
      <c r="F3" s="2">
        <f>IF(AND(15&lt;=E3,E3&lt;=18),2*(E3-15)/((20-15)*(18-15)),IF(AND(18&lt;E3,E3&lt;=20),2*(20-E3)/((20-15)*(20-18)),0))</f>
        <v>0.33261313100545492</v>
      </c>
    </row>
    <row r="4" spans="1:6" x14ac:dyDescent="0.25">
      <c r="A4" s="2">
        <v>2.3439485270202982</v>
      </c>
      <c r="B4" s="2">
        <f t="shared" ref="B4:B52" si="0">IF(AND(1&lt;=A4,A4&lt;=2),2*(A4-1)/((3-1)*(2-1)),IF(AND(2&lt;A4,A4&lt;=3),2*(3-A4)/((3-1)*(3-2)),0))</f>
        <v>0.65605147297970179</v>
      </c>
      <c r="C4" s="2">
        <v>3.6341155024109955</v>
      </c>
      <c r="D4" s="2">
        <f t="shared" ref="D4:D52" si="1">IF(AND(3&lt;=C4,C4&lt;=5),2*(C4-3)/((7-3)*(5-3)),IF(AND(5&lt;C4,C4&lt;=7),2*(7-C4)/((7-3)*(7-5)),0))</f>
        <v>0.15852887560274886</v>
      </c>
      <c r="E4" s="2">
        <v>18.55152165212775</v>
      </c>
      <c r="F4" s="2">
        <f t="shared" ref="F4:F52" si="2">IF(AND(15&lt;=E4,E4&lt;=18),2*(E4-15)/((20-15)*(18-15)),IF(AND(18&lt;E4,E4&lt;=20),2*(20-E4)/((20-15)*(20-18)),0))</f>
        <v>0.28969566957444998</v>
      </c>
    </row>
    <row r="5" spans="1:6" x14ac:dyDescent="0.25">
      <c r="A5" s="2">
        <v>2.2214801726041746</v>
      </c>
      <c r="B5" s="2">
        <f t="shared" si="0"/>
        <v>0.77851982739582537</v>
      </c>
      <c r="C5" s="2">
        <v>5.0357129878563436</v>
      </c>
      <c r="D5" s="2">
        <f t="shared" si="1"/>
        <v>0.4910717530359141</v>
      </c>
      <c r="E5" s="2">
        <v>17.04422146844891</v>
      </c>
      <c r="F5" s="2">
        <f t="shared" si="2"/>
        <v>0.27256286245985467</v>
      </c>
    </row>
    <row r="6" spans="1:6" x14ac:dyDescent="0.25">
      <c r="A6" s="2">
        <v>1.4208551017242619</v>
      </c>
      <c r="B6" s="2">
        <f t="shared" si="0"/>
        <v>0.42085510172426188</v>
      </c>
      <c r="C6" s="2">
        <v>5.4609421502932252</v>
      </c>
      <c r="D6" s="2">
        <f t="shared" si="1"/>
        <v>0.38476446242669371</v>
      </c>
      <c r="E6" s="2">
        <v>18.247237627121415</v>
      </c>
      <c r="F6" s="2">
        <f t="shared" si="2"/>
        <v>0.35055247457571709</v>
      </c>
    </row>
    <row r="7" spans="1:6" x14ac:dyDescent="0.25">
      <c r="A7" s="2">
        <v>2.1265621465716817</v>
      </c>
      <c r="B7" s="2">
        <f t="shared" si="0"/>
        <v>0.87343785342831826</v>
      </c>
      <c r="C7" s="2">
        <v>5.530881030659347</v>
      </c>
      <c r="D7" s="2">
        <f t="shared" si="1"/>
        <v>0.36727974233516325</v>
      </c>
      <c r="E7" s="2">
        <v>17.464339493377949</v>
      </c>
      <c r="F7" s="2">
        <f t="shared" si="2"/>
        <v>0.32857859911705989</v>
      </c>
    </row>
    <row r="8" spans="1:6" x14ac:dyDescent="0.25">
      <c r="A8" s="2">
        <v>2.1941758280098975</v>
      </c>
      <c r="B8" s="2">
        <f t="shared" si="0"/>
        <v>0.80582417199010248</v>
      </c>
      <c r="C8" s="2">
        <v>4.6129611161825617</v>
      </c>
      <c r="D8" s="2">
        <f t="shared" si="1"/>
        <v>0.40324027904564042</v>
      </c>
      <c r="E8" s="2">
        <v>18.489064401027299</v>
      </c>
      <c r="F8" s="2">
        <f t="shared" si="2"/>
        <v>0.30218711979454016</v>
      </c>
    </row>
    <row r="9" spans="1:6" x14ac:dyDescent="0.25">
      <c r="A9" s="2">
        <v>1.1771010969639584</v>
      </c>
      <c r="B9" s="2">
        <f t="shared" si="0"/>
        <v>0.17710109696395837</v>
      </c>
      <c r="C9" s="2">
        <v>5.7895935578808189</v>
      </c>
      <c r="D9" s="2">
        <f t="shared" si="1"/>
        <v>0.30260161052979528</v>
      </c>
      <c r="E9" s="2">
        <v>18.335672417143375</v>
      </c>
      <c r="F9" s="2">
        <f t="shared" si="2"/>
        <v>0.33286551657132507</v>
      </c>
    </row>
    <row r="10" spans="1:6" x14ac:dyDescent="0.25">
      <c r="A10" s="2">
        <v>1.9285950212311072</v>
      </c>
      <c r="B10" s="2">
        <f t="shared" si="0"/>
        <v>0.92859502123110715</v>
      </c>
      <c r="C10" s="2">
        <v>5.5365601401031972</v>
      </c>
      <c r="D10" s="2">
        <f t="shared" si="1"/>
        <v>0.3658599649742007</v>
      </c>
      <c r="E10" s="2">
        <v>17.562217534011697</v>
      </c>
      <c r="F10" s="2">
        <f t="shared" si="2"/>
        <v>0.34162900453489298</v>
      </c>
    </row>
    <row r="11" spans="1:6" x14ac:dyDescent="0.25">
      <c r="A11" s="2">
        <v>1.8966410713962483</v>
      </c>
      <c r="B11" s="2">
        <f t="shared" si="0"/>
        <v>0.89664107139624827</v>
      </c>
      <c r="C11" s="2">
        <v>5.3234906250165492</v>
      </c>
      <c r="D11" s="2">
        <f t="shared" si="1"/>
        <v>0.41912734374586269</v>
      </c>
      <c r="E11" s="2">
        <v>16.081530706538487</v>
      </c>
      <c r="F11" s="2">
        <f t="shared" si="2"/>
        <v>0.14420409420513161</v>
      </c>
    </row>
    <row r="12" spans="1:6" x14ac:dyDescent="0.25">
      <c r="A12" s="2">
        <v>1.7420181884387183</v>
      </c>
      <c r="B12" s="2">
        <f t="shared" si="0"/>
        <v>0.74201818843871825</v>
      </c>
      <c r="C12" s="2">
        <v>5.6909170384371688</v>
      </c>
      <c r="D12" s="2">
        <f t="shared" si="1"/>
        <v>0.3272707403907078</v>
      </c>
      <c r="E12" s="2">
        <v>17.481828932400646</v>
      </c>
      <c r="F12" s="2">
        <f t="shared" si="2"/>
        <v>0.33091052432008611</v>
      </c>
    </row>
    <row r="13" spans="1:6" x14ac:dyDescent="0.25">
      <c r="A13" s="2">
        <v>2.4038332623511884</v>
      </c>
      <c r="B13" s="2">
        <f t="shared" si="0"/>
        <v>0.59616673764881156</v>
      </c>
      <c r="C13" s="2">
        <v>5.6469298265852181</v>
      </c>
      <c r="D13" s="2">
        <f t="shared" si="1"/>
        <v>0.33826754335369547</v>
      </c>
      <c r="E13" s="2">
        <v>17.256242001273648</v>
      </c>
      <c r="F13" s="2">
        <f t="shared" si="2"/>
        <v>0.30083226683648639</v>
      </c>
    </row>
    <row r="14" spans="1:6" x14ac:dyDescent="0.25">
      <c r="A14" s="2">
        <v>2.2669549241752716</v>
      </c>
      <c r="B14" s="2">
        <f t="shared" si="0"/>
        <v>0.73304507582472844</v>
      </c>
      <c r="C14" s="2">
        <v>4.8257018111596111</v>
      </c>
      <c r="D14" s="2">
        <f t="shared" si="1"/>
        <v>0.45642545278990276</v>
      </c>
      <c r="E14" s="2">
        <v>18.264707281213955</v>
      </c>
      <c r="F14" s="2">
        <f t="shared" si="2"/>
        <v>0.34705854375720901</v>
      </c>
    </row>
    <row r="15" spans="1:6" x14ac:dyDescent="0.25">
      <c r="A15" s="2">
        <v>2.1799159049925168</v>
      </c>
      <c r="B15" s="2">
        <f t="shared" si="0"/>
        <v>0.82008409500748325</v>
      </c>
      <c r="C15" s="2">
        <v>3.9923016339835367</v>
      </c>
      <c r="D15" s="2">
        <f t="shared" si="1"/>
        <v>0.24807540849588416</v>
      </c>
      <c r="E15" s="2">
        <v>17.164329360868479</v>
      </c>
      <c r="F15" s="2">
        <f t="shared" si="2"/>
        <v>0.28857724811579716</v>
      </c>
    </row>
    <row r="16" spans="1:6" x14ac:dyDescent="0.25">
      <c r="A16" s="2">
        <v>1.9138918986427143</v>
      </c>
      <c r="B16" s="2">
        <f t="shared" si="0"/>
        <v>0.91389189864271425</v>
      </c>
      <c r="C16" s="2">
        <v>5.762836149313177</v>
      </c>
      <c r="D16" s="2">
        <f t="shared" si="1"/>
        <v>0.30929096267170575</v>
      </c>
      <c r="E16" s="2">
        <v>18.461445204994696</v>
      </c>
      <c r="F16" s="2">
        <f t="shared" si="2"/>
        <v>0.30771095900106077</v>
      </c>
    </row>
    <row r="17" spans="1:6" x14ac:dyDescent="0.25">
      <c r="A17" s="2">
        <v>2.2120133573689924</v>
      </c>
      <c r="B17" s="2">
        <f t="shared" si="0"/>
        <v>0.78798664263100759</v>
      </c>
      <c r="C17" s="2">
        <v>5.5255451671403284</v>
      </c>
      <c r="D17" s="2">
        <f t="shared" si="1"/>
        <v>0.3686137082149179</v>
      </c>
      <c r="E17" s="2">
        <v>16.508755581678734</v>
      </c>
      <c r="F17" s="2">
        <f t="shared" si="2"/>
        <v>0.20116741089049792</v>
      </c>
    </row>
    <row r="18" spans="1:6" x14ac:dyDescent="0.25">
      <c r="A18" s="2">
        <v>1.7445379683200457</v>
      </c>
      <c r="B18" s="2">
        <f t="shared" si="0"/>
        <v>0.74453796832004571</v>
      </c>
      <c r="C18" s="2">
        <v>5.3601440793038977</v>
      </c>
      <c r="D18" s="2">
        <f t="shared" si="1"/>
        <v>0.40996398017402558</v>
      </c>
      <c r="E18" s="2">
        <v>17.982426611516225</v>
      </c>
      <c r="F18" s="2">
        <f t="shared" si="2"/>
        <v>0.39765688153549661</v>
      </c>
    </row>
    <row r="19" spans="1:6" x14ac:dyDescent="0.25">
      <c r="A19" s="2">
        <v>1.8444954440195565</v>
      </c>
      <c r="B19" s="2">
        <f t="shared" si="0"/>
        <v>0.84449544401955645</v>
      </c>
      <c r="C19" s="2">
        <v>4.7924387694984514</v>
      </c>
      <c r="D19" s="2">
        <f t="shared" si="1"/>
        <v>0.44810969237461284</v>
      </c>
      <c r="E19" s="2">
        <v>18.787288407751142</v>
      </c>
      <c r="F19" s="2">
        <f t="shared" si="2"/>
        <v>0.2425423184497717</v>
      </c>
    </row>
    <row r="20" spans="1:6" x14ac:dyDescent="0.25">
      <c r="A20" s="2">
        <v>1.9310823123163439</v>
      </c>
      <c r="B20" s="2">
        <f t="shared" si="0"/>
        <v>0.93108231231634386</v>
      </c>
      <c r="C20" s="2">
        <v>3.3610839018392822</v>
      </c>
      <c r="D20" s="2">
        <f t="shared" si="1"/>
        <v>9.0270975459820546E-2</v>
      </c>
      <c r="E20" s="2">
        <v>16.909769030681279</v>
      </c>
      <c r="F20" s="2">
        <f t="shared" si="2"/>
        <v>0.25463587075750382</v>
      </c>
    </row>
    <row r="21" spans="1:6" x14ac:dyDescent="0.25">
      <c r="A21" s="2">
        <v>2.3747516321067463</v>
      </c>
      <c r="B21" s="2">
        <f t="shared" si="0"/>
        <v>0.62524836789325366</v>
      </c>
      <c r="C21" s="2">
        <v>4.1584914879352404</v>
      </c>
      <c r="D21" s="2">
        <f t="shared" si="1"/>
        <v>0.28962287198381009</v>
      </c>
      <c r="E21" s="2">
        <v>18.754939045379583</v>
      </c>
      <c r="F21" s="2">
        <f t="shared" si="2"/>
        <v>0.24901219092408339</v>
      </c>
    </row>
    <row r="22" spans="1:6" x14ac:dyDescent="0.25">
      <c r="A22" s="2">
        <v>1.4930516483110281</v>
      </c>
      <c r="B22" s="2">
        <f t="shared" si="0"/>
        <v>0.4930516483110281</v>
      </c>
      <c r="C22" s="2">
        <v>4.1462431203787551</v>
      </c>
      <c r="D22" s="2">
        <f t="shared" si="1"/>
        <v>0.28656078009468877</v>
      </c>
      <c r="E22" s="2">
        <v>16.309577003137619</v>
      </c>
      <c r="F22" s="2">
        <f t="shared" si="2"/>
        <v>0.17461026708501587</v>
      </c>
    </row>
    <row r="23" spans="1:6" x14ac:dyDescent="0.25">
      <c r="A23" s="2">
        <v>2.1366189604804009</v>
      </c>
      <c r="B23" s="2">
        <f t="shared" si="0"/>
        <v>0.8633810395195991</v>
      </c>
      <c r="C23" s="2">
        <v>5.0193464832895751</v>
      </c>
      <c r="D23" s="2">
        <f t="shared" si="1"/>
        <v>0.49516337917760622</v>
      </c>
      <c r="E23" s="2">
        <v>18.842368854712007</v>
      </c>
      <c r="F23" s="2">
        <f t="shared" si="2"/>
        <v>0.2315262290575987</v>
      </c>
    </row>
    <row r="24" spans="1:6" x14ac:dyDescent="0.25">
      <c r="A24" s="2">
        <v>1.8340655606707847</v>
      </c>
      <c r="B24" s="2">
        <f t="shared" si="0"/>
        <v>0.83406556067078474</v>
      </c>
      <c r="C24" s="2">
        <v>4.8023600577156955</v>
      </c>
      <c r="D24" s="2">
        <f t="shared" si="1"/>
        <v>0.45059001442892388</v>
      </c>
      <c r="E24" s="2">
        <v>18.081336925897631</v>
      </c>
      <c r="F24" s="2">
        <f t="shared" si="2"/>
        <v>0.38373261482047383</v>
      </c>
    </row>
    <row r="25" spans="1:6" x14ac:dyDescent="0.25">
      <c r="A25" s="2">
        <v>1.4570170343258568</v>
      </c>
      <c r="B25" s="2">
        <f t="shared" si="0"/>
        <v>0.45701703432585683</v>
      </c>
      <c r="C25" s="2">
        <v>3.921449983544453</v>
      </c>
      <c r="D25" s="2">
        <f t="shared" si="1"/>
        <v>0.23036249588611324</v>
      </c>
      <c r="E25" s="2">
        <v>17.997139610168048</v>
      </c>
      <c r="F25" s="2">
        <f t="shared" si="2"/>
        <v>0.39961861468907312</v>
      </c>
    </row>
    <row r="26" spans="1:6" x14ac:dyDescent="0.25">
      <c r="A26" s="2">
        <v>1.6089376200405983</v>
      </c>
      <c r="B26" s="2">
        <f t="shared" si="0"/>
        <v>0.60893762004059826</v>
      </c>
      <c r="C26" s="2">
        <v>4.4862658854823501</v>
      </c>
      <c r="D26" s="2">
        <f t="shared" si="1"/>
        <v>0.37156647137058751</v>
      </c>
      <c r="E26" s="2">
        <v>18.679476154842625</v>
      </c>
      <c r="F26" s="2">
        <f t="shared" si="2"/>
        <v>0.26410476903147495</v>
      </c>
    </row>
    <row r="27" spans="1:6" x14ac:dyDescent="0.25">
      <c r="A27" s="2">
        <v>1.3941692542272779</v>
      </c>
      <c r="B27" s="2">
        <f t="shared" si="0"/>
        <v>0.39416925422727789</v>
      </c>
      <c r="C27" s="2">
        <v>5.268121330655605</v>
      </c>
      <c r="D27" s="2">
        <f t="shared" si="1"/>
        <v>0.43296966733609876</v>
      </c>
      <c r="E27" s="2">
        <v>17.936490057757755</v>
      </c>
      <c r="F27" s="2">
        <f t="shared" si="2"/>
        <v>0.39153200770103402</v>
      </c>
    </row>
    <row r="28" spans="1:6" x14ac:dyDescent="0.25">
      <c r="A28" s="2">
        <v>1.9303327613190064</v>
      </c>
      <c r="B28" s="2">
        <f t="shared" si="0"/>
        <v>0.93033276131900644</v>
      </c>
      <c r="C28" s="2">
        <v>5.6063000498112254</v>
      </c>
      <c r="D28" s="2">
        <f t="shared" si="1"/>
        <v>0.34842498754719364</v>
      </c>
      <c r="E28" s="2">
        <v>16.917709301960908</v>
      </c>
      <c r="F28" s="2">
        <f t="shared" si="2"/>
        <v>0.25569457359478776</v>
      </c>
    </row>
    <row r="29" spans="1:6" x14ac:dyDescent="0.25">
      <c r="A29" s="2">
        <v>2.3851143595583979</v>
      </c>
      <c r="B29" s="2">
        <f t="shared" si="0"/>
        <v>0.6148856404416021</v>
      </c>
      <c r="C29" s="2">
        <v>4.9959342877917754</v>
      </c>
      <c r="D29" s="2">
        <f t="shared" si="1"/>
        <v>0.49898357194794385</v>
      </c>
      <c r="E29" s="2">
        <v>18.591996179623791</v>
      </c>
      <c r="F29" s="2">
        <f t="shared" si="2"/>
        <v>0.28160076407524171</v>
      </c>
    </row>
    <row r="30" spans="1:6" x14ac:dyDescent="0.25">
      <c r="A30" s="2">
        <v>2.0411813113853423</v>
      </c>
      <c r="B30" s="2">
        <f t="shared" si="0"/>
        <v>0.95881868861465769</v>
      </c>
      <c r="C30" s="2">
        <v>4.2256431292681675</v>
      </c>
      <c r="D30" s="2">
        <f t="shared" si="1"/>
        <v>0.30641078231704189</v>
      </c>
      <c r="E30" s="2">
        <v>16.060308946085808</v>
      </c>
      <c r="F30" s="2">
        <f t="shared" si="2"/>
        <v>0.14137452614477439</v>
      </c>
    </row>
    <row r="31" spans="1:6" x14ac:dyDescent="0.25">
      <c r="A31" s="2">
        <v>1.9943608188157409</v>
      </c>
      <c r="B31" s="2">
        <f t="shared" si="0"/>
        <v>0.9943608188157409</v>
      </c>
      <c r="C31" s="2">
        <v>5.6782332052407334</v>
      </c>
      <c r="D31" s="2">
        <f t="shared" si="1"/>
        <v>0.33044169868981665</v>
      </c>
      <c r="E31" s="2">
        <v>17.565618002042161</v>
      </c>
      <c r="F31" s="2">
        <f t="shared" si="2"/>
        <v>0.34208240027228809</v>
      </c>
    </row>
    <row r="32" spans="1:6" x14ac:dyDescent="0.25">
      <c r="A32" s="2">
        <v>2.3949671472762288</v>
      </c>
      <c r="B32" s="2">
        <f t="shared" si="0"/>
        <v>0.60503285272377116</v>
      </c>
      <c r="C32" s="2">
        <v>4.7269957676290613</v>
      </c>
      <c r="D32" s="2">
        <f t="shared" si="1"/>
        <v>0.43174894190726532</v>
      </c>
      <c r="E32" s="2">
        <v>18.376341976818171</v>
      </c>
      <c r="F32" s="2">
        <f t="shared" si="2"/>
        <v>0.32473160463636574</v>
      </c>
    </row>
    <row r="33" spans="1:6" x14ac:dyDescent="0.25">
      <c r="A33" s="2">
        <v>1.6599997611478894</v>
      </c>
      <c r="B33" s="2">
        <f t="shared" si="0"/>
        <v>0.65999976114788939</v>
      </c>
      <c r="C33" s="2">
        <v>4.6088624897407406</v>
      </c>
      <c r="D33" s="2">
        <f t="shared" si="1"/>
        <v>0.40221562243518516</v>
      </c>
      <c r="E33" s="2">
        <v>16.919682950649868</v>
      </c>
      <c r="F33" s="2">
        <f t="shared" si="2"/>
        <v>0.25595772675331574</v>
      </c>
    </row>
    <row r="34" spans="1:6" x14ac:dyDescent="0.25">
      <c r="A34" s="2">
        <v>1.8706218998204096</v>
      </c>
      <c r="B34" s="2">
        <f t="shared" si="0"/>
        <v>0.87062189982040961</v>
      </c>
      <c r="C34" s="2">
        <v>5.483276508201719</v>
      </c>
      <c r="D34" s="2">
        <f t="shared" si="1"/>
        <v>0.37918087294957026</v>
      </c>
      <c r="E34" s="2">
        <v>17.383084766279413</v>
      </c>
      <c r="F34" s="2">
        <f t="shared" si="2"/>
        <v>0.31774463550392179</v>
      </c>
    </row>
    <row r="35" spans="1:6" x14ac:dyDescent="0.25">
      <c r="A35" s="2">
        <v>1.8897688247176982</v>
      </c>
      <c r="B35" s="2">
        <f t="shared" si="0"/>
        <v>0.88976882471769825</v>
      </c>
      <c r="C35" s="2">
        <v>4.3206069888734042</v>
      </c>
      <c r="D35" s="2">
        <f t="shared" si="1"/>
        <v>0.33015174721835105</v>
      </c>
      <c r="E35" s="2">
        <v>17.441035311175888</v>
      </c>
      <c r="F35" s="2">
        <f t="shared" si="2"/>
        <v>0.32547137482345173</v>
      </c>
    </row>
    <row r="36" spans="1:6" x14ac:dyDescent="0.25">
      <c r="A36" s="2">
        <v>1.75033784250774</v>
      </c>
      <c r="B36" s="2">
        <f t="shared" si="0"/>
        <v>0.75033784250774005</v>
      </c>
      <c r="C36" s="2">
        <v>4.8910171480415006</v>
      </c>
      <c r="D36" s="2">
        <f t="shared" si="1"/>
        <v>0.47275428701037514</v>
      </c>
      <c r="E36" s="2">
        <v>17.810444398540053</v>
      </c>
      <c r="F36" s="2">
        <f t="shared" si="2"/>
        <v>0.37472591980534037</v>
      </c>
    </row>
    <row r="37" spans="1:6" x14ac:dyDescent="0.25">
      <c r="A37" s="2">
        <v>2.0033655157557004</v>
      </c>
      <c r="B37" s="2">
        <f t="shared" si="0"/>
        <v>0.99663448424429957</v>
      </c>
      <c r="C37" s="2">
        <v>4.3741259831470387</v>
      </c>
      <c r="D37" s="2">
        <f t="shared" si="1"/>
        <v>0.34353149578675968</v>
      </c>
      <c r="E37" s="2">
        <v>17.013799461666583</v>
      </c>
      <c r="F37" s="2">
        <f t="shared" si="2"/>
        <v>0.26850659488887774</v>
      </c>
    </row>
    <row r="38" spans="1:6" x14ac:dyDescent="0.25">
      <c r="A38" s="2">
        <v>1.5267491131645163</v>
      </c>
      <c r="B38" s="2">
        <f t="shared" si="0"/>
        <v>0.52674911316451634</v>
      </c>
      <c r="C38" s="2">
        <v>5.6508633916502387</v>
      </c>
      <c r="D38" s="2">
        <f t="shared" si="1"/>
        <v>0.33728415208744034</v>
      </c>
      <c r="E38" s="2">
        <v>17.952566003118214</v>
      </c>
      <c r="F38" s="2">
        <f t="shared" si="2"/>
        <v>0.39367546708242857</v>
      </c>
    </row>
    <row r="39" spans="1:6" x14ac:dyDescent="0.25">
      <c r="A39" s="2">
        <v>2.0171094756079109</v>
      </c>
      <c r="B39" s="2">
        <f t="shared" si="0"/>
        <v>0.98289052439208913</v>
      </c>
      <c r="C39" s="2">
        <v>5.2098557484701651</v>
      </c>
      <c r="D39" s="2">
        <f t="shared" si="1"/>
        <v>0.44753606288245873</v>
      </c>
      <c r="E39" s="2">
        <v>16.773551416309431</v>
      </c>
      <c r="F39" s="2">
        <f t="shared" si="2"/>
        <v>0.23647352217459078</v>
      </c>
    </row>
    <row r="40" spans="1:6" x14ac:dyDescent="0.25">
      <c r="A40" s="2">
        <v>2.3895067154762208</v>
      </c>
      <c r="B40" s="2">
        <f t="shared" si="0"/>
        <v>0.61049328452377916</v>
      </c>
      <c r="C40" s="2">
        <v>4.7307390471214763</v>
      </c>
      <c r="D40" s="2">
        <f t="shared" si="1"/>
        <v>0.43268476178036908</v>
      </c>
      <c r="E40" s="2">
        <v>16.086569512964218</v>
      </c>
      <c r="F40" s="2">
        <f t="shared" si="2"/>
        <v>0.14487593506189569</v>
      </c>
    </row>
    <row r="41" spans="1:6" x14ac:dyDescent="0.25">
      <c r="A41" s="2">
        <v>2.0559365682154707</v>
      </c>
      <c r="B41" s="2">
        <f t="shared" si="0"/>
        <v>0.94406343178452934</v>
      </c>
      <c r="C41" s="2">
        <v>4.7652237697889692</v>
      </c>
      <c r="D41" s="2">
        <f t="shared" si="1"/>
        <v>0.44130594244724231</v>
      </c>
      <c r="E41" s="2">
        <v>18.664927504539374</v>
      </c>
      <c r="F41" s="2">
        <f t="shared" si="2"/>
        <v>0.26701449909212516</v>
      </c>
    </row>
    <row r="42" spans="1:6" x14ac:dyDescent="0.25">
      <c r="A42" s="2">
        <v>2.3484836857777389</v>
      </c>
      <c r="B42" s="2">
        <f t="shared" si="0"/>
        <v>0.65151631422226108</v>
      </c>
      <c r="C42" s="2">
        <v>5.6238738777972763</v>
      </c>
      <c r="D42" s="2">
        <f t="shared" si="1"/>
        <v>0.34403153055068092</v>
      </c>
      <c r="E42" s="2">
        <v>16.292862579504384</v>
      </c>
      <c r="F42" s="2">
        <f t="shared" si="2"/>
        <v>0.17238167726725115</v>
      </c>
    </row>
    <row r="43" spans="1:6" x14ac:dyDescent="0.25">
      <c r="A43" s="2">
        <v>2.1465220664488167</v>
      </c>
      <c r="B43" s="2">
        <f t="shared" si="0"/>
        <v>0.85347793355118329</v>
      </c>
      <c r="C43" s="2">
        <v>5.1650642803067317</v>
      </c>
      <c r="D43" s="2">
        <f t="shared" si="1"/>
        <v>0.45873392992331707</v>
      </c>
      <c r="E43" s="2">
        <v>18.128202466358022</v>
      </c>
      <c r="F43" s="2">
        <f t="shared" si="2"/>
        <v>0.37435950672839552</v>
      </c>
    </row>
    <row r="44" spans="1:6" x14ac:dyDescent="0.25">
      <c r="A44" s="2">
        <v>1.9392706362681191</v>
      </c>
      <c r="B44" s="2">
        <f t="shared" si="0"/>
        <v>0.93927063626811913</v>
      </c>
      <c r="C44" s="2">
        <v>5.7299222603932378</v>
      </c>
      <c r="D44" s="2">
        <f t="shared" si="1"/>
        <v>0.31751943490169054</v>
      </c>
      <c r="E44" s="2">
        <v>18.674916083487162</v>
      </c>
      <c r="F44" s="2">
        <f t="shared" si="2"/>
        <v>0.26501678330256767</v>
      </c>
    </row>
    <row r="45" spans="1:6" x14ac:dyDescent="0.25">
      <c r="A45" s="2">
        <v>2.1772803701492096</v>
      </c>
      <c r="B45" s="2">
        <f t="shared" si="0"/>
        <v>0.82271962985079039</v>
      </c>
      <c r="C45" s="2">
        <v>5.0340942423470132</v>
      </c>
      <c r="D45" s="2">
        <f t="shared" si="1"/>
        <v>0.4914764394132467</v>
      </c>
      <c r="E45" s="2">
        <v>16.86385346269396</v>
      </c>
      <c r="F45" s="2">
        <f t="shared" si="2"/>
        <v>0.24851379502586138</v>
      </c>
    </row>
    <row r="46" spans="1:6" x14ac:dyDescent="0.25">
      <c r="A46" s="2">
        <v>1.3591410663329013</v>
      </c>
      <c r="B46" s="2">
        <f t="shared" si="0"/>
        <v>0.35914106633290133</v>
      </c>
      <c r="C46" s="2">
        <v>4.6255480502350732</v>
      </c>
      <c r="D46" s="2">
        <f t="shared" si="1"/>
        <v>0.4063870125587683</v>
      </c>
      <c r="E46" s="2">
        <v>18.774729489745791</v>
      </c>
      <c r="F46" s="2">
        <f t="shared" si="2"/>
        <v>0.24505410205084174</v>
      </c>
    </row>
    <row r="47" spans="1:6" x14ac:dyDescent="0.25">
      <c r="A47" s="2">
        <v>2.2297094030501725</v>
      </c>
      <c r="B47" s="2">
        <f t="shared" si="0"/>
        <v>0.77029059694982749</v>
      </c>
      <c r="C47" s="2">
        <v>5.6358356268462018</v>
      </c>
      <c r="D47" s="2">
        <f t="shared" si="1"/>
        <v>0.34104109328844956</v>
      </c>
      <c r="E47" s="2">
        <v>18.562697179256467</v>
      </c>
      <c r="F47" s="2">
        <f t="shared" si="2"/>
        <v>0.28746056414870652</v>
      </c>
    </row>
    <row r="48" spans="1:6" x14ac:dyDescent="0.25">
      <c r="A48" s="2">
        <v>2.1836505536338313</v>
      </c>
      <c r="B48" s="2">
        <f t="shared" si="0"/>
        <v>0.81634944636616869</v>
      </c>
      <c r="C48" s="2">
        <v>4.4396137784543885</v>
      </c>
      <c r="D48" s="2">
        <f t="shared" si="1"/>
        <v>0.35990344461359713</v>
      </c>
      <c r="E48" s="2">
        <v>17.572594693278916</v>
      </c>
      <c r="F48" s="2">
        <f t="shared" si="2"/>
        <v>0.34301262577052211</v>
      </c>
    </row>
    <row r="49" spans="1:6" x14ac:dyDescent="0.25">
      <c r="A49" s="2">
        <v>1.9970666659266998</v>
      </c>
      <c r="B49" s="2">
        <f t="shared" si="0"/>
        <v>0.99706666592669979</v>
      </c>
      <c r="C49" s="2">
        <v>4.4409478345081341</v>
      </c>
      <c r="D49" s="2">
        <f t="shared" si="1"/>
        <v>0.36023695862703353</v>
      </c>
      <c r="E49" s="2">
        <v>17.716632774986081</v>
      </c>
      <c r="F49" s="2">
        <f t="shared" si="2"/>
        <v>0.36221770333147751</v>
      </c>
    </row>
    <row r="50" spans="1:6" x14ac:dyDescent="0.25">
      <c r="A50" s="2">
        <v>1.557558393969777</v>
      </c>
      <c r="B50" s="2">
        <f t="shared" si="0"/>
        <v>0.55755839396977702</v>
      </c>
      <c r="C50" s="2">
        <v>4.1956371788924116</v>
      </c>
      <c r="D50" s="2">
        <f t="shared" si="1"/>
        <v>0.2989092947231029</v>
      </c>
      <c r="E50" s="2">
        <v>18.397440533907051</v>
      </c>
      <c r="F50" s="2">
        <f t="shared" si="2"/>
        <v>0.32051189321858969</v>
      </c>
    </row>
    <row r="51" spans="1:6" x14ac:dyDescent="0.25">
      <c r="A51" s="2">
        <v>1.6689357784733456</v>
      </c>
      <c r="B51" s="2">
        <f t="shared" si="0"/>
        <v>0.66893577847334562</v>
      </c>
      <c r="C51" s="2">
        <v>4.6660303649608057</v>
      </c>
      <c r="D51" s="2">
        <f t="shared" si="1"/>
        <v>0.41650759124020142</v>
      </c>
      <c r="E51" s="2">
        <v>18.538841518551333</v>
      </c>
      <c r="F51" s="2">
        <f t="shared" si="2"/>
        <v>0.29223169628973339</v>
      </c>
    </row>
    <row r="52" spans="1:6" x14ac:dyDescent="0.25">
      <c r="A52" s="2">
        <v>1.8076434609730274</v>
      </c>
      <c r="B52" s="2">
        <f t="shared" si="0"/>
        <v>0.80764346097302742</v>
      </c>
      <c r="C52" s="2">
        <v>3.141581356316935</v>
      </c>
      <c r="D52" s="2">
        <f t="shared" si="1"/>
        <v>3.5395339079233756E-2</v>
      </c>
      <c r="E52" s="2">
        <v>17.39552493114552</v>
      </c>
      <c r="F52" s="2">
        <f t="shared" si="2"/>
        <v>0.31940332415273598</v>
      </c>
    </row>
  </sheetData>
  <mergeCells count="1"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andom_Numbers_Generator">
                <anchor moveWithCells="1" siz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12</xdr:col>
                    <xdr:colOff>19050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C52"/>
  <sheetViews>
    <sheetView workbookViewId="0">
      <selection activeCell="L26" sqref="L26"/>
    </sheetView>
  </sheetViews>
  <sheetFormatPr defaultRowHeight="15" x14ac:dyDescent="0.25"/>
  <sheetData>
    <row r="1" spans="1:3" x14ac:dyDescent="0.25">
      <c r="A1" s="9" t="s">
        <v>13</v>
      </c>
      <c r="B1" s="9"/>
      <c r="C1" s="9"/>
    </row>
    <row r="2" spans="1:3" x14ac:dyDescent="0.25">
      <c r="A2" s="1" t="s">
        <v>14</v>
      </c>
      <c r="B2" s="1" t="s">
        <v>15</v>
      </c>
      <c r="C2" s="1" t="s">
        <v>16</v>
      </c>
    </row>
    <row r="3" spans="1:3" x14ac:dyDescent="0.25">
      <c r="A3" s="2">
        <v>0.2</v>
      </c>
      <c r="B3" s="2">
        <v>0.5</v>
      </c>
      <c r="C3" s="2">
        <v>0.8</v>
      </c>
    </row>
    <row r="4" spans="1:3" x14ac:dyDescent="0.25">
      <c r="A4" s="2">
        <v>0.16000000000000003</v>
      </c>
      <c r="B4" s="2">
        <v>0.25</v>
      </c>
      <c r="C4" s="2">
        <v>0.15999999999999998</v>
      </c>
    </row>
    <row r="5" spans="1:3" x14ac:dyDescent="0.25">
      <c r="A5" s="2">
        <v>0.12800000000000003</v>
      </c>
      <c r="B5" s="2">
        <v>0.125</v>
      </c>
      <c r="C5" s="2">
        <v>3.1999999999999987E-2</v>
      </c>
    </row>
    <row r="6" spans="1:3" x14ac:dyDescent="0.25">
      <c r="A6" s="2">
        <v>0.10240000000000003</v>
      </c>
      <c r="B6" s="2">
        <v>6.25E-2</v>
      </c>
      <c r="C6" s="2">
        <v>6.399999999999996E-3</v>
      </c>
    </row>
    <row r="7" spans="1:3" x14ac:dyDescent="0.25">
      <c r="A7" s="2">
        <v>8.1920000000000021E-2</v>
      </c>
      <c r="B7" s="2">
        <v>3.125E-2</v>
      </c>
      <c r="C7" s="2">
        <v>1.279999999999999E-3</v>
      </c>
    </row>
    <row r="8" spans="1:3" x14ac:dyDescent="0.25">
      <c r="A8" s="2">
        <v>6.5536000000000025E-2</v>
      </c>
      <c r="B8" s="2">
        <v>1.5625E-2</v>
      </c>
      <c r="C8" s="2">
        <v>2.5599999999999972E-4</v>
      </c>
    </row>
    <row r="9" spans="1:3" x14ac:dyDescent="0.25">
      <c r="A9" s="2">
        <v>5.2428800000000025E-2</v>
      </c>
      <c r="B9" s="2">
        <v>7.8125E-3</v>
      </c>
      <c r="C9" s="2">
        <v>5.1199999999999937E-5</v>
      </c>
    </row>
    <row r="10" spans="1:3" x14ac:dyDescent="0.25">
      <c r="A10" s="2">
        <v>4.1943040000000015E-2</v>
      </c>
      <c r="B10" s="2">
        <v>3.90625E-3</v>
      </c>
      <c r="C10" s="2">
        <v>1.0239999999999985E-5</v>
      </c>
    </row>
    <row r="11" spans="1:3" x14ac:dyDescent="0.25">
      <c r="A11" s="2">
        <v>3.3554432000000016E-2</v>
      </c>
      <c r="B11" s="2">
        <v>1.953125E-3</v>
      </c>
      <c r="C11" s="2">
        <v>2.0479999999999963E-6</v>
      </c>
    </row>
    <row r="12" spans="1:3" x14ac:dyDescent="0.25">
      <c r="A12" s="2">
        <v>2.6843545600000015E-2</v>
      </c>
      <c r="B12" s="2">
        <v>9.765625E-4</v>
      </c>
      <c r="C12" s="2">
        <v>4.0959999999999922E-7</v>
      </c>
    </row>
    <row r="13" spans="1:3" x14ac:dyDescent="0.25">
      <c r="A13" s="2">
        <v>2.1474836480000013E-2</v>
      </c>
      <c r="B13" s="2">
        <v>4.8828125E-4</v>
      </c>
      <c r="C13" s="2">
        <v>8.1919999999999823E-8</v>
      </c>
    </row>
    <row r="14" spans="1:3" x14ac:dyDescent="0.25">
      <c r="A14" s="2">
        <v>1.717986918400001E-2</v>
      </c>
      <c r="B14" s="2">
        <v>2.44140625E-4</v>
      </c>
      <c r="C14" s="2">
        <v>1.638399999999996E-8</v>
      </c>
    </row>
    <row r="15" spans="1:3" x14ac:dyDescent="0.25">
      <c r="A15" s="2">
        <v>1.3743895347200009E-2</v>
      </c>
      <c r="B15" s="2">
        <v>1.220703125E-4</v>
      </c>
      <c r="C15" s="2">
        <v>3.2767999999999914E-9</v>
      </c>
    </row>
    <row r="16" spans="1:3" x14ac:dyDescent="0.25">
      <c r="A16" s="2">
        <v>1.0995116277760009E-2</v>
      </c>
      <c r="B16" s="2">
        <v>6.103515625E-5</v>
      </c>
      <c r="C16" s="2">
        <v>6.5535999999999814E-10</v>
      </c>
    </row>
    <row r="17" spans="1:3" x14ac:dyDescent="0.25">
      <c r="A17" s="2">
        <v>8.7960930222080076E-3</v>
      </c>
      <c r="B17" s="2">
        <v>3.0517578125E-5</v>
      </c>
      <c r="C17" s="2">
        <v>1.310719999999996E-10</v>
      </c>
    </row>
    <row r="18" spans="1:3" x14ac:dyDescent="0.25">
      <c r="A18" s="2">
        <v>7.0368744177664068E-3</v>
      </c>
      <c r="B18" s="2">
        <v>1.52587890625E-5</v>
      </c>
      <c r="C18" s="2">
        <v>2.6214399999999915E-11</v>
      </c>
    </row>
    <row r="19" spans="1:3" x14ac:dyDescent="0.25">
      <c r="A19" s="2">
        <v>5.6294995342131247E-3</v>
      </c>
      <c r="B19" s="2">
        <v>7.62939453125E-6</v>
      </c>
      <c r="C19" s="2">
        <v>5.2428799999999818E-12</v>
      </c>
    </row>
    <row r="20" spans="1:3" x14ac:dyDescent="0.25">
      <c r="A20" s="2">
        <v>4.5035996273705007E-3</v>
      </c>
      <c r="B20" s="2">
        <v>3.814697265625E-6</v>
      </c>
      <c r="C20" s="2">
        <v>1.048575999999996E-12</v>
      </c>
    </row>
    <row r="21" spans="1:3" x14ac:dyDescent="0.25">
      <c r="A21" s="2">
        <v>3.6028797018964006E-3</v>
      </c>
      <c r="B21" s="2">
        <v>1.9073486328125E-6</v>
      </c>
      <c r="C21" s="2">
        <v>2.0971519999999919E-13</v>
      </c>
    </row>
    <row r="22" spans="1:3" x14ac:dyDescent="0.25">
      <c r="A22" s="2">
        <v>2.8823037615171208E-3</v>
      </c>
      <c r="B22" s="2">
        <v>9.5367431640625E-7</v>
      </c>
      <c r="C22" s="2">
        <v>4.1943039999999827E-14</v>
      </c>
    </row>
    <row r="23" spans="1:3" x14ac:dyDescent="0.25">
      <c r="A23" s="2">
        <v>2.3058430092136968E-3</v>
      </c>
      <c r="B23" s="2">
        <v>4.76837158203125E-7</v>
      </c>
      <c r="C23" s="2">
        <v>8.3886079999999629E-15</v>
      </c>
    </row>
    <row r="24" spans="1:3" x14ac:dyDescent="0.25">
      <c r="A24" s="2">
        <v>1.8446744073709574E-3</v>
      </c>
      <c r="B24" s="2">
        <v>2.384185791015625E-7</v>
      </c>
      <c r="C24" s="2">
        <v>1.6777215999999924E-15</v>
      </c>
    </row>
    <row r="25" spans="1:3" x14ac:dyDescent="0.25">
      <c r="A25" s="2">
        <v>1.475739525896766E-3</v>
      </c>
      <c r="B25" s="2">
        <v>1.1920928955078125E-7</v>
      </c>
      <c r="C25" s="2">
        <v>3.3554431999999836E-16</v>
      </c>
    </row>
    <row r="26" spans="1:3" x14ac:dyDescent="0.25">
      <c r="A26" s="2">
        <v>1.1805916207174129E-3</v>
      </c>
      <c r="B26" s="2">
        <v>5.9604644775390625E-8</v>
      </c>
      <c r="C26" s="2">
        <v>6.7108863999999662E-17</v>
      </c>
    </row>
    <row r="27" spans="1:3" x14ac:dyDescent="0.25">
      <c r="A27" s="2">
        <v>9.4447329657393038E-4</v>
      </c>
      <c r="B27" s="2">
        <v>2.9802322387695313E-8</v>
      </c>
      <c r="C27" s="2">
        <v>1.3421772799999928E-17</v>
      </c>
    </row>
    <row r="28" spans="1:3" x14ac:dyDescent="0.25">
      <c r="A28" s="2">
        <v>7.5557863725914435E-4</v>
      </c>
      <c r="B28" s="2">
        <v>1.4901161193847656E-8</v>
      </c>
      <c r="C28" s="2">
        <v>2.6843545599999851E-18</v>
      </c>
    </row>
    <row r="29" spans="1:3" x14ac:dyDescent="0.25">
      <c r="A29" s="2">
        <v>6.0446290980731548E-4</v>
      </c>
      <c r="B29" s="2">
        <v>7.4505805969238281E-9</v>
      </c>
      <c r="C29" s="2">
        <v>5.3687091199999694E-19</v>
      </c>
    </row>
    <row r="30" spans="1:3" x14ac:dyDescent="0.25">
      <c r="A30" s="2">
        <v>4.8357032784585241E-4</v>
      </c>
      <c r="B30" s="2">
        <v>3.7252902984619141E-9</v>
      </c>
      <c r="C30" s="2">
        <v>1.0737418239999936E-19</v>
      </c>
    </row>
    <row r="31" spans="1:3" x14ac:dyDescent="0.25">
      <c r="A31" s="2">
        <v>3.8685626227668196E-4</v>
      </c>
      <c r="B31" s="2">
        <v>1.862645149230957E-9</v>
      </c>
      <c r="C31" s="2">
        <v>2.1474836479999869E-20</v>
      </c>
    </row>
    <row r="32" spans="1:3" x14ac:dyDescent="0.25">
      <c r="A32" s="2">
        <v>3.0948500982134558E-4</v>
      </c>
      <c r="B32" s="2">
        <v>9.3132257461547852E-10</v>
      </c>
      <c r="C32" s="2">
        <v>4.2949672959999725E-21</v>
      </c>
    </row>
    <row r="33" spans="1:3" x14ac:dyDescent="0.25">
      <c r="A33" s="2">
        <v>2.4758800785707646E-4</v>
      </c>
      <c r="B33" s="2">
        <v>4.6566128730773926E-10</v>
      </c>
      <c r="C33" s="2">
        <v>8.5899345919999424E-22</v>
      </c>
    </row>
    <row r="34" spans="1:3" x14ac:dyDescent="0.25">
      <c r="A34" s="2">
        <v>1.9807040628566118E-4</v>
      </c>
      <c r="B34" s="2">
        <v>2.3283064365386963E-10</v>
      </c>
      <c r="C34" s="2">
        <v>1.7179869183999881E-22</v>
      </c>
    </row>
    <row r="35" spans="1:3" x14ac:dyDescent="0.25">
      <c r="A35" s="2">
        <v>1.5845632502852898E-4</v>
      </c>
      <c r="B35" s="2">
        <v>1.1641532182693481E-10</v>
      </c>
      <c r="C35" s="2">
        <v>3.4359738367999761E-23</v>
      </c>
    </row>
    <row r="36" spans="1:3" x14ac:dyDescent="0.25">
      <c r="A36" s="2">
        <v>1.2676506002282317E-4</v>
      </c>
      <c r="B36" s="2">
        <v>5.8207660913467407E-11</v>
      </c>
      <c r="C36" s="2">
        <v>6.8719476735999495E-24</v>
      </c>
    </row>
    <row r="37" spans="1:3" x14ac:dyDescent="0.25">
      <c r="A37" s="2">
        <v>1.0141204801825854E-4</v>
      </c>
      <c r="B37" s="2">
        <v>2.9103830456733704E-11</v>
      </c>
      <c r="C37" s="2">
        <v>1.3743895347199897E-24</v>
      </c>
    </row>
    <row r="38" spans="1:3" x14ac:dyDescent="0.25">
      <c r="A38" s="2">
        <v>8.112963841460684E-5</v>
      </c>
      <c r="B38" s="2">
        <v>1.4551915228366852E-11</v>
      </c>
      <c r="C38" s="2">
        <v>2.7487790694399787E-25</v>
      </c>
    </row>
    <row r="39" spans="1:3" x14ac:dyDescent="0.25">
      <c r="A39" s="2">
        <v>6.4903710731685472E-5</v>
      </c>
      <c r="B39" s="2">
        <v>7.2759576141834259E-12</v>
      </c>
      <c r="C39" s="2">
        <v>5.4975581388799556E-26</v>
      </c>
    </row>
    <row r="40" spans="1:3" x14ac:dyDescent="0.25">
      <c r="A40" s="2">
        <v>5.192296858534839E-5</v>
      </c>
      <c r="B40" s="2">
        <v>3.637978807091713E-12</v>
      </c>
      <c r="C40" s="2">
        <v>1.0995116277759909E-26</v>
      </c>
    </row>
    <row r="41" spans="1:3" x14ac:dyDescent="0.25">
      <c r="A41" s="2">
        <v>4.1538374868278706E-5</v>
      </c>
      <c r="B41" s="2">
        <v>1.8189894035458565E-12</v>
      </c>
      <c r="C41" s="2">
        <v>2.1990232555519815E-27</v>
      </c>
    </row>
    <row r="42" spans="1:3" x14ac:dyDescent="0.25">
      <c r="A42" s="2">
        <v>3.3230699894622969E-5</v>
      </c>
      <c r="B42" s="2">
        <v>9.0949470177292824E-13</v>
      </c>
      <c r="C42" s="2">
        <v>4.398046511103962E-28</v>
      </c>
    </row>
    <row r="43" spans="1:3" x14ac:dyDescent="0.25">
      <c r="A43" s="2">
        <v>2.6584559915698375E-5</v>
      </c>
      <c r="B43" s="2">
        <v>4.5474735088646412E-13</v>
      </c>
      <c r="C43" s="2">
        <v>8.7960930222079227E-29</v>
      </c>
    </row>
    <row r="44" spans="1:3" x14ac:dyDescent="0.25">
      <c r="A44" s="2">
        <v>2.1267647932558706E-5</v>
      </c>
      <c r="B44" s="2">
        <v>2.2737367544323206E-13</v>
      </c>
      <c r="C44" s="2">
        <v>1.7592186044415841E-29</v>
      </c>
    </row>
    <row r="45" spans="1:3" x14ac:dyDescent="0.25">
      <c r="A45" s="2">
        <v>1.7014118346046962E-5</v>
      </c>
      <c r="B45" s="2">
        <v>1.1368683772161603E-13</v>
      </c>
      <c r="C45" s="2">
        <v>3.5184372088831673E-30</v>
      </c>
    </row>
    <row r="46" spans="1:3" x14ac:dyDescent="0.25">
      <c r="A46" s="2">
        <v>1.3611294676837573E-5</v>
      </c>
      <c r="B46" s="2">
        <v>5.6843418860808015E-14</v>
      </c>
      <c r="C46" s="2">
        <v>7.036874417766334E-31</v>
      </c>
    </row>
    <row r="47" spans="1:3" x14ac:dyDescent="0.25">
      <c r="A47" s="2">
        <v>1.0889035741470058E-5</v>
      </c>
      <c r="B47" s="2">
        <v>2.8421709430404007E-14</v>
      </c>
      <c r="C47" s="2">
        <v>1.4073748835532664E-31</v>
      </c>
    </row>
    <row r="48" spans="1:3" x14ac:dyDescent="0.25">
      <c r="A48" s="2">
        <v>8.7112285931760469E-6</v>
      </c>
      <c r="B48" s="2">
        <v>1.4210854715202004E-14</v>
      </c>
      <c r="C48" s="2">
        <v>2.8147497671065321E-32</v>
      </c>
    </row>
    <row r="49" spans="1:3" x14ac:dyDescent="0.25">
      <c r="A49" s="2">
        <v>6.9689828745408382E-6</v>
      </c>
      <c r="B49" s="2">
        <v>7.1054273576010019E-15</v>
      </c>
      <c r="C49" s="2">
        <v>5.6294995342130624E-33</v>
      </c>
    </row>
    <row r="50" spans="1:3" x14ac:dyDescent="0.25">
      <c r="A50" s="2">
        <v>5.5751862996326709E-6</v>
      </c>
      <c r="B50" s="2">
        <v>3.5527136788005009E-15</v>
      </c>
      <c r="C50" s="2">
        <v>1.1258999068426123E-33</v>
      </c>
    </row>
    <row r="51" spans="1:3" x14ac:dyDescent="0.25">
      <c r="A51" s="2">
        <v>4.4601490397061371E-6</v>
      </c>
      <c r="B51" s="2">
        <v>1.7763568394002505E-15</v>
      </c>
      <c r="C51" s="2">
        <v>2.2517998136852239E-34</v>
      </c>
    </row>
    <row r="52" spans="1:3" x14ac:dyDescent="0.25">
      <c r="A52" s="2">
        <v>3.5681192317649099E-6</v>
      </c>
      <c r="B52" s="2">
        <v>8.8817841970012523E-16</v>
      </c>
      <c r="C52" s="2">
        <v>4.5035996273704474E-35</v>
      </c>
    </row>
  </sheetData>
  <mergeCells count="1">
    <mergeCell ref="A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andom_Numbers_Generator">
                <anchor moveWithCells="1" sizeWithCells="1">
                  <from>
                    <xdr:col>4</xdr:col>
                    <xdr:colOff>28575</xdr:colOff>
                    <xdr:row>20</xdr:row>
                    <xdr:rowOff>0</xdr:rowOff>
                  </from>
                  <to>
                    <xdr:col>9</xdr:col>
                    <xdr:colOff>28575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Показательное</vt:lpstr>
      <vt:lpstr>Логистическое</vt:lpstr>
      <vt:lpstr>Треугольное</vt:lpstr>
      <vt:lpstr>Геометрическое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2022-11-30T12:36:35Z</dcterms:modified>
</cp:coreProperties>
</file>